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llison/Library/CloudStorage/GoogleDrive-kathryn@gobros.com/Shared drives/GoBros/GoBros/GoBros/Vendors/Wigwam/Analytics/For Monthly Call/"/>
    </mc:Choice>
  </mc:AlternateContent>
  <xr:revisionPtr revIDLastSave="0" documentId="13_ncr:1_{B5075F27-EDFB-7341-B0F4-2E0843501454}" xr6:coauthVersionLast="47" xr6:coauthVersionMax="47" xr10:uidLastSave="{00000000-0000-0000-0000-000000000000}"/>
  <bookViews>
    <workbookView xWindow="-38240" yWindow="660" windowWidth="38080" windowHeight="20780" xr2:uid="{63B2C0ED-10DE-482A-B607-D3CDD9479A7C}"/>
  </bookViews>
  <sheets>
    <sheet name="Amazon Weekly Sales Rpt " sheetId="1" r:id="rId1"/>
    <sheet name="Sheet6" sheetId="11" r:id="rId2"/>
    <sheet name="Sheet2" sheetId="3" r:id="rId3"/>
  </sheets>
  <definedNames>
    <definedName name="_xlnm._FilterDatabase" localSheetId="0" hidden="1">'Amazon Weekly Sales Rpt '!$A$2:$M$309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10" i="1" l="1"/>
  <c r="AB310" i="1"/>
  <c r="AA310" i="1"/>
  <c r="Z310" i="1"/>
  <c r="X310" i="1"/>
  <c r="W310" i="1"/>
  <c r="V310" i="1"/>
  <c r="U310" i="1"/>
  <c r="R462" i="1" l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463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S310" i="1" l="1"/>
  <c r="AE465" i="1" l="1"/>
  <c r="AE469" i="1" s="1"/>
  <c r="AC463" i="1" l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5" i="1"/>
  <c r="AC444" i="1"/>
  <c r="AC443" i="1"/>
  <c r="AC442" i="1"/>
  <c r="AC441" i="1"/>
  <c r="AC440" i="1"/>
  <c r="AC439" i="1"/>
  <c r="AC438" i="1"/>
  <c r="AC437" i="1"/>
  <c r="AC436" i="1"/>
  <c r="AC435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B462" i="1"/>
  <c r="AB461" i="1"/>
  <c r="AB460" i="1"/>
  <c r="AB459" i="1"/>
  <c r="AB458" i="1"/>
  <c r="AB457" i="1"/>
  <c r="AB456" i="1"/>
  <c r="AB455" i="1"/>
  <c r="AB454" i="1"/>
  <c r="AB453" i="1"/>
  <c r="AB452" i="1"/>
  <c r="AB451" i="1"/>
  <c r="AB450" i="1"/>
  <c r="AB449" i="1"/>
  <c r="AB448" i="1"/>
  <c r="AB447" i="1"/>
  <c r="AB446" i="1"/>
  <c r="AB445" i="1"/>
  <c r="AB444" i="1"/>
  <c r="AB443" i="1"/>
  <c r="AB442" i="1"/>
  <c r="AB441" i="1"/>
  <c r="AB440" i="1"/>
  <c r="AB439" i="1"/>
  <c r="AB438" i="1"/>
  <c r="AB437" i="1"/>
  <c r="AB436" i="1"/>
  <c r="AB435" i="1"/>
  <c r="AB434" i="1"/>
  <c r="AB433" i="1"/>
  <c r="AB432" i="1"/>
  <c r="AB431" i="1"/>
  <c r="AB430" i="1"/>
  <c r="AB429" i="1"/>
  <c r="AB428" i="1"/>
  <c r="AB427" i="1"/>
  <c r="AB426" i="1"/>
  <c r="AB425" i="1"/>
  <c r="AB424" i="1"/>
  <c r="AB423" i="1"/>
  <c r="AB422" i="1"/>
  <c r="AB421" i="1"/>
  <c r="AB420" i="1"/>
  <c r="AB419" i="1"/>
  <c r="AB418" i="1"/>
  <c r="AB417" i="1"/>
  <c r="AB416" i="1"/>
  <c r="AB415" i="1"/>
  <c r="AB414" i="1"/>
  <c r="AB413" i="1"/>
  <c r="AB412" i="1"/>
  <c r="AB411" i="1"/>
  <c r="AB410" i="1"/>
  <c r="AB409" i="1"/>
  <c r="AB408" i="1"/>
  <c r="AB407" i="1"/>
  <c r="AB406" i="1"/>
  <c r="AB405" i="1"/>
  <c r="AB404" i="1"/>
  <c r="AB403" i="1"/>
  <c r="AB402" i="1"/>
  <c r="AB401" i="1"/>
  <c r="AB400" i="1"/>
  <c r="AB399" i="1"/>
  <c r="AB398" i="1"/>
  <c r="AB397" i="1"/>
  <c r="AB396" i="1"/>
  <c r="AB395" i="1"/>
  <c r="AB394" i="1"/>
  <c r="AB393" i="1"/>
  <c r="AB392" i="1"/>
  <c r="AB391" i="1"/>
  <c r="AB390" i="1"/>
  <c r="AB389" i="1"/>
  <c r="AB388" i="1"/>
  <c r="AB387" i="1"/>
  <c r="AB386" i="1"/>
  <c r="AB385" i="1"/>
  <c r="AB384" i="1"/>
  <c r="AB383" i="1"/>
  <c r="AB382" i="1"/>
  <c r="AB381" i="1"/>
  <c r="AB380" i="1"/>
  <c r="AB379" i="1"/>
  <c r="AB378" i="1"/>
  <c r="AB377" i="1"/>
  <c r="AB376" i="1"/>
  <c r="AB375" i="1"/>
  <c r="AB374" i="1"/>
  <c r="AB373" i="1"/>
  <c r="AB372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B312" i="1"/>
  <c r="AB311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463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J463" i="1" l="1"/>
  <c r="AK463" i="1" s="1"/>
  <c r="AJ462" i="1"/>
  <c r="AK462" i="1" s="1"/>
  <c r="AJ461" i="1"/>
  <c r="AK461" i="1" s="1"/>
  <c r="AJ460" i="1"/>
  <c r="AK460" i="1" s="1"/>
  <c r="AJ459" i="1"/>
  <c r="AK459" i="1" s="1"/>
  <c r="AJ458" i="1"/>
  <c r="AK458" i="1" s="1"/>
  <c r="AJ457" i="1"/>
  <c r="AK457" i="1" s="1"/>
  <c r="AJ456" i="1"/>
  <c r="AK456" i="1" s="1"/>
  <c r="AJ455" i="1"/>
  <c r="AK455" i="1" s="1"/>
  <c r="AJ454" i="1"/>
  <c r="AK454" i="1" s="1"/>
  <c r="AJ453" i="1"/>
  <c r="AK453" i="1" s="1"/>
  <c r="AJ452" i="1"/>
  <c r="AK452" i="1" s="1"/>
  <c r="AJ451" i="1"/>
  <c r="AK451" i="1" s="1"/>
  <c r="AJ450" i="1"/>
  <c r="AK450" i="1" s="1"/>
  <c r="AJ449" i="1"/>
  <c r="AK449" i="1" s="1"/>
  <c r="AJ448" i="1"/>
  <c r="AK448" i="1" s="1"/>
  <c r="AJ447" i="1"/>
  <c r="AK447" i="1" s="1"/>
  <c r="AJ446" i="1"/>
  <c r="AK446" i="1" s="1"/>
  <c r="AJ445" i="1"/>
  <c r="AK445" i="1" s="1"/>
  <c r="AJ444" i="1"/>
  <c r="AK444" i="1" s="1"/>
  <c r="AJ443" i="1"/>
  <c r="AK443" i="1" s="1"/>
  <c r="AJ442" i="1"/>
  <c r="AK442" i="1" s="1"/>
  <c r="AJ441" i="1"/>
  <c r="AK441" i="1" s="1"/>
  <c r="AJ440" i="1"/>
  <c r="AK440" i="1" s="1"/>
  <c r="AJ439" i="1"/>
  <c r="AK439" i="1" s="1"/>
  <c r="AJ438" i="1"/>
  <c r="AK438" i="1" s="1"/>
  <c r="AJ437" i="1"/>
  <c r="AK437" i="1" s="1"/>
  <c r="AJ436" i="1"/>
  <c r="AK436" i="1" s="1"/>
  <c r="AJ435" i="1"/>
  <c r="AK435" i="1" s="1"/>
  <c r="AJ434" i="1"/>
  <c r="AK434" i="1" s="1"/>
  <c r="AJ433" i="1"/>
  <c r="AK433" i="1" s="1"/>
  <c r="AJ432" i="1"/>
  <c r="AK432" i="1" s="1"/>
  <c r="AJ431" i="1"/>
  <c r="AK431" i="1" s="1"/>
  <c r="AJ430" i="1"/>
  <c r="AK430" i="1" s="1"/>
  <c r="AJ429" i="1"/>
  <c r="AK429" i="1" s="1"/>
  <c r="AJ428" i="1"/>
  <c r="AK428" i="1" s="1"/>
  <c r="AJ427" i="1"/>
  <c r="AK427" i="1" s="1"/>
  <c r="AJ426" i="1"/>
  <c r="AK426" i="1" s="1"/>
  <c r="AJ425" i="1"/>
  <c r="AK425" i="1" s="1"/>
  <c r="AJ424" i="1"/>
  <c r="AK424" i="1" s="1"/>
  <c r="AJ423" i="1"/>
  <c r="AK423" i="1" s="1"/>
  <c r="AJ422" i="1"/>
  <c r="AK422" i="1" s="1"/>
  <c r="AJ421" i="1"/>
  <c r="AK421" i="1" s="1"/>
  <c r="AJ420" i="1"/>
  <c r="AK420" i="1" s="1"/>
  <c r="AJ419" i="1"/>
  <c r="AK419" i="1" s="1"/>
  <c r="AJ418" i="1"/>
  <c r="AK418" i="1" s="1"/>
  <c r="AJ417" i="1"/>
  <c r="AK417" i="1" s="1"/>
  <c r="AJ416" i="1"/>
  <c r="AK416" i="1" s="1"/>
  <c r="AJ415" i="1"/>
  <c r="AK415" i="1" s="1"/>
  <c r="AJ414" i="1"/>
  <c r="AK414" i="1" s="1"/>
  <c r="AJ413" i="1"/>
  <c r="AK413" i="1" s="1"/>
  <c r="AJ412" i="1"/>
  <c r="AK412" i="1" s="1"/>
  <c r="AJ411" i="1"/>
  <c r="AK411" i="1" s="1"/>
  <c r="AJ410" i="1"/>
  <c r="AK410" i="1" s="1"/>
  <c r="AJ409" i="1"/>
  <c r="AK409" i="1" s="1"/>
  <c r="AJ408" i="1"/>
  <c r="AK408" i="1" s="1"/>
  <c r="AJ407" i="1"/>
  <c r="AK407" i="1" s="1"/>
  <c r="AJ406" i="1"/>
  <c r="AK406" i="1" s="1"/>
  <c r="AJ405" i="1"/>
  <c r="AK405" i="1" s="1"/>
  <c r="AJ404" i="1"/>
  <c r="AK404" i="1" s="1"/>
  <c r="AJ403" i="1"/>
  <c r="AK403" i="1" s="1"/>
  <c r="AJ402" i="1"/>
  <c r="AK402" i="1" s="1"/>
  <c r="AJ401" i="1"/>
  <c r="AK401" i="1" s="1"/>
  <c r="AJ400" i="1"/>
  <c r="AK400" i="1" s="1"/>
  <c r="AJ399" i="1"/>
  <c r="AK399" i="1" s="1"/>
  <c r="AJ398" i="1"/>
  <c r="AK398" i="1" s="1"/>
  <c r="AJ397" i="1"/>
  <c r="AK397" i="1" s="1"/>
  <c r="AJ396" i="1"/>
  <c r="AK396" i="1" s="1"/>
  <c r="AJ395" i="1"/>
  <c r="AK395" i="1" s="1"/>
  <c r="AJ394" i="1"/>
  <c r="AK394" i="1" s="1"/>
  <c r="AJ393" i="1"/>
  <c r="AK393" i="1" s="1"/>
  <c r="AJ392" i="1"/>
  <c r="AK392" i="1" s="1"/>
  <c r="AJ391" i="1"/>
  <c r="AK391" i="1" s="1"/>
  <c r="AJ390" i="1"/>
  <c r="AK390" i="1" s="1"/>
  <c r="AJ389" i="1"/>
  <c r="AK389" i="1" s="1"/>
  <c r="AJ388" i="1"/>
  <c r="AK388" i="1" s="1"/>
  <c r="AJ387" i="1"/>
  <c r="AK387" i="1" s="1"/>
  <c r="AJ386" i="1"/>
  <c r="AK386" i="1" s="1"/>
  <c r="AJ385" i="1"/>
  <c r="AK385" i="1" s="1"/>
  <c r="AJ384" i="1"/>
  <c r="AK384" i="1" s="1"/>
  <c r="AJ383" i="1"/>
  <c r="AK383" i="1" s="1"/>
  <c r="AJ382" i="1"/>
  <c r="AK382" i="1" s="1"/>
  <c r="AJ381" i="1"/>
  <c r="AK381" i="1" s="1"/>
  <c r="AJ380" i="1"/>
  <c r="AK380" i="1" s="1"/>
  <c r="AJ379" i="1"/>
  <c r="AK379" i="1" s="1"/>
  <c r="AJ378" i="1"/>
  <c r="AK378" i="1" s="1"/>
  <c r="AJ377" i="1"/>
  <c r="AK377" i="1" s="1"/>
  <c r="AJ376" i="1"/>
  <c r="AK376" i="1" s="1"/>
  <c r="AJ375" i="1"/>
  <c r="AK375" i="1" s="1"/>
  <c r="AJ374" i="1"/>
  <c r="AK374" i="1" s="1"/>
  <c r="AJ373" i="1"/>
  <c r="AK373" i="1" s="1"/>
  <c r="AJ372" i="1"/>
  <c r="AK372" i="1" s="1"/>
  <c r="AJ371" i="1"/>
  <c r="AK371" i="1" s="1"/>
  <c r="AJ370" i="1"/>
  <c r="AK370" i="1" s="1"/>
  <c r="AJ369" i="1"/>
  <c r="AK369" i="1" s="1"/>
  <c r="AJ368" i="1"/>
  <c r="AK368" i="1" s="1"/>
  <c r="AJ367" i="1"/>
  <c r="AK367" i="1" s="1"/>
  <c r="AJ366" i="1"/>
  <c r="AK366" i="1" s="1"/>
  <c r="AJ365" i="1"/>
  <c r="AK365" i="1" s="1"/>
  <c r="AJ364" i="1"/>
  <c r="AK364" i="1" s="1"/>
  <c r="AJ363" i="1"/>
  <c r="AK363" i="1" s="1"/>
  <c r="AJ362" i="1"/>
  <c r="AK362" i="1" s="1"/>
  <c r="AJ361" i="1"/>
  <c r="AK361" i="1" s="1"/>
  <c r="AJ360" i="1"/>
  <c r="AK360" i="1" s="1"/>
  <c r="AJ359" i="1"/>
  <c r="AK359" i="1" s="1"/>
  <c r="AJ358" i="1"/>
  <c r="AK358" i="1" s="1"/>
  <c r="AJ357" i="1"/>
  <c r="AK357" i="1" s="1"/>
  <c r="AJ356" i="1"/>
  <c r="AK356" i="1" s="1"/>
  <c r="AJ355" i="1"/>
  <c r="AK355" i="1" s="1"/>
  <c r="AJ354" i="1"/>
  <c r="AK354" i="1" s="1"/>
  <c r="AJ353" i="1"/>
  <c r="AK353" i="1" s="1"/>
  <c r="AJ352" i="1"/>
  <c r="AK352" i="1" s="1"/>
  <c r="AJ351" i="1"/>
  <c r="AK351" i="1" s="1"/>
  <c r="AJ350" i="1"/>
  <c r="AK350" i="1" s="1"/>
  <c r="AJ349" i="1"/>
  <c r="AK349" i="1" s="1"/>
  <c r="AJ348" i="1"/>
  <c r="AK348" i="1" s="1"/>
  <c r="AJ347" i="1"/>
  <c r="AK347" i="1" s="1"/>
  <c r="AJ346" i="1"/>
  <c r="AK346" i="1" s="1"/>
  <c r="AJ345" i="1"/>
  <c r="AK345" i="1" s="1"/>
  <c r="AJ344" i="1"/>
  <c r="AK344" i="1" s="1"/>
  <c r="AJ343" i="1"/>
  <c r="AK343" i="1" s="1"/>
  <c r="AJ342" i="1"/>
  <c r="AK342" i="1" s="1"/>
  <c r="AJ341" i="1"/>
  <c r="AK341" i="1" s="1"/>
  <c r="AJ340" i="1"/>
  <c r="AK340" i="1" s="1"/>
  <c r="AJ339" i="1"/>
  <c r="AK339" i="1" s="1"/>
  <c r="AJ338" i="1"/>
  <c r="AK338" i="1" s="1"/>
  <c r="AJ337" i="1"/>
  <c r="AK337" i="1" s="1"/>
  <c r="AJ336" i="1"/>
  <c r="AK336" i="1" s="1"/>
  <c r="AJ335" i="1"/>
  <c r="AK335" i="1" s="1"/>
  <c r="AJ334" i="1"/>
  <c r="AK334" i="1" s="1"/>
  <c r="AJ333" i="1"/>
  <c r="AK333" i="1" s="1"/>
  <c r="AJ332" i="1"/>
  <c r="AK332" i="1" s="1"/>
  <c r="AJ331" i="1"/>
  <c r="AK331" i="1" s="1"/>
  <c r="AJ330" i="1"/>
  <c r="AK330" i="1" s="1"/>
  <c r="AJ329" i="1"/>
  <c r="AK329" i="1" s="1"/>
  <c r="AJ328" i="1"/>
  <c r="AK328" i="1" s="1"/>
  <c r="AJ327" i="1"/>
  <c r="AK327" i="1" s="1"/>
  <c r="AJ326" i="1"/>
  <c r="AK326" i="1" s="1"/>
  <c r="AJ325" i="1"/>
  <c r="AK325" i="1" s="1"/>
  <c r="AJ324" i="1"/>
  <c r="AK324" i="1" s="1"/>
  <c r="AJ323" i="1"/>
  <c r="AK323" i="1" s="1"/>
  <c r="AJ322" i="1"/>
  <c r="AK322" i="1" s="1"/>
  <c r="AJ321" i="1"/>
  <c r="AK321" i="1" s="1"/>
  <c r="AJ320" i="1"/>
  <c r="AK320" i="1" s="1"/>
  <c r="AJ319" i="1"/>
  <c r="AK319" i="1" s="1"/>
  <c r="AJ318" i="1"/>
  <c r="AK318" i="1" s="1"/>
  <c r="AJ317" i="1"/>
  <c r="AK317" i="1" s="1"/>
  <c r="AJ316" i="1"/>
  <c r="AK316" i="1" s="1"/>
  <c r="AJ315" i="1"/>
  <c r="AK315" i="1" s="1"/>
  <c r="AJ314" i="1"/>
  <c r="AK314" i="1" s="1"/>
  <c r="AJ313" i="1"/>
  <c r="AK313" i="1" s="1"/>
  <c r="AJ312" i="1"/>
  <c r="AK312" i="1" s="1"/>
  <c r="AJ311" i="1"/>
  <c r="AK311" i="1" s="1"/>
  <c r="AJ309" i="1"/>
  <c r="AK309" i="1" s="1"/>
  <c r="AJ308" i="1"/>
  <c r="AK308" i="1" s="1"/>
  <c r="AJ307" i="1"/>
  <c r="AK307" i="1" s="1"/>
  <c r="AJ306" i="1"/>
  <c r="AK306" i="1" s="1"/>
  <c r="AJ305" i="1"/>
  <c r="AK305" i="1" s="1"/>
  <c r="AJ304" i="1"/>
  <c r="AK304" i="1" s="1"/>
  <c r="AJ303" i="1"/>
  <c r="AK303" i="1" s="1"/>
  <c r="AJ302" i="1"/>
  <c r="AK302" i="1" s="1"/>
  <c r="AJ301" i="1"/>
  <c r="AK301" i="1" s="1"/>
  <c r="AJ300" i="1"/>
  <c r="AK300" i="1" s="1"/>
  <c r="AJ299" i="1"/>
  <c r="AK299" i="1" s="1"/>
  <c r="AJ298" i="1"/>
  <c r="AK298" i="1" s="1"/>
  <c r="AJ297" i="1"/>
  <c r="AK297" i="1" s="1"/>
  <c r="AJ296" i="1"/>
  <c r="AK296" i="1" s="1"/>
  <c r="AJ295" i="1"/>
  <c r="AK295" i="1" s="1"/>
  <c r="AJ294" i="1"/>
  <c r="AK294" i="1" s="1"/>
  <c r="AJ293" i="1"/>
  <c r="AK293" i="1" s="1"/>
  <c r="AJ292" i="1"/>
  <c r="AK292" i="1" s="1"/>
  <c r="AJ291" i="1"/>
  <c r="AK291" i="1" s="1"/>
  <c r="AJ290" i="1"/>
  <c r="AK290" i="1" s="1"/>
  <c r="AJ289" i="1"/>
  <c r="AK289" i="1" s="1"/>
  <c r="AJ288" i="1"/>
  <c r="AK288" i="1" s="1"/>
  <c r="AJ287" i="1"/>
  <c r="AK287" i="1" s="1"/>
  <c r="AJ286" i="1"/>
  <c r="AK286" i="1" s="1"/>
  <c r="AJ285" i="1"/>
  <c r="AK285" i="1" s="1"/>
  <c r="AJ284" i="1"/>
  <c r="AK284" i="1" s="1"/>
  <c r="AJ283" i="1"/>
  <c r="AK283" i="1" s="1"/>
  <c r="AJ282" i="1"/>
  <c r="AK282" i="1" s="1"/>
  <c r="AJ281" i="1"/>
  <c r="AK281" i="1" s="1"/>
  <c r="AJ280" i="1"/>
  <c r="AK280" i="1" s="1"/>
  <c r="AJ279" i="1"/>
  <c r="AK279" i="1" s="1"/>
  <c r="AJ278" i="1"/>
  <c r="AK278" i="1" s="1"/>
  <c r="AJ277" i="1"/>
  <c r="AK277" i="1" s="1"/>
  <c r="AJ276" i="1"/>
  <c r="AK276" i="1" s="1"/>
  <c r="AJ275" i="1"/>
  <c r="AK275" i="1" s="1"/>
  <c r="AJ274" i="1"/>
  <c r="AK274" i="1" s="1"/>
  <c r="AJ273" i="1"/>
  <c r="AK273" i="1" s="1"/>
  <c r="AJ272" i="1"/>
  <c r="AK272" i="1" s="1"/>
  <c r="AJ271" i="1"/>
  <c r="AK271" i="1" s="1"/>
  <c r="AJ270" i="1"/>
  <c r="AK270" i="1" s="1"/>
  <c r="AJ269" i="1"/>
  <c r="AK269" i="1" s="1"/>
  <c r="AJ268" i="1"/>
  <c r="AK268" i="1" s="1"/>
  <c r="AJ267" i="1"/>
  <c r="AK267" i="1" s="1"/>
  <c r="AJ266" i="1"/>
  <c r="AK266" i="1" s="1"/>
  <c r="AJ265" i="1"/>
  <c r="AK265" i="1" s="1"/>
  <c r="AJ264" i="1"/>
  <c r="AK264" i="1" s="1"/>
  <c r="AJ263" i="1"/>
  <c r="AK263" i="1" s="1"/>
  <c r="AJ262" i="1"/>
  <c r="AK262" i="1" s="1"/>
  <c r="AJ261" i="1"/>
  <c r="AK261" i="1" s="1"/>
  <c r="AJ260" i="1"/>
  <c r="AK260" i="1" s="1"/>
  <c r="AJ259" i="1"/>
  <c r="AK259" i="1" s="1"/>
  <c r="AJ258" i="1"/>
  <c r="AK258" i="1" s="1"/>
  <c r="AJ257" i="1"/>
  <c r="AK257" i="1" s="1"/>
  <c r="AJ256" i="1"/>
  <c r="AK256" i="1" s="1"/>
  <c r="AJ255" i="1"/>
  <c r="AK255" i="1" s="1"/>
  <c r="AJ254" i="1"/>
  <c r="AK254" i="1" s="1"/>
  <c r="AJ253" i="1"/>
  <c r="AK253" i="1" s="1"/>
  <c r="AJ252" i="1"/>
  <c r="AK252" i="1" s="1"/>
  <c r="AJ251" i="1"/>
  <c r="AK251" i="1" s="1"/>
  <c r="AJ250" i="1"/>
  <c r="AK250" i="1" s="1"/>
  <c r="AJ249" i="1"/>
  <c r="AK249" i="1" s="1"/>
  <c r="AJ248" i="1"/>
  <c r="AK248" i="1" s="1"/>
  <c r="AJ247" i="1"/>
  <c r="AK247" i="1" s="1"/>
  <c r="AJ246" i="1"/>
  <c r="AK246" i="1" s="1"/>
  <c r="AJ245" i="1"/>
  <c r="AK245" i="1" s="1"/>
  <c r="AJ244" i="1"/>
  <c r="AK244" i="1" s="1"/>
  <c r="AJ243" i="1"/>
  <c r="AK243" i="1" s="1"/>
  <c r="AJ242" i="1"/>
  <c r="AK242" i="1" s="1"/>
  <c r="AJ241" i="1"/>
  <c r="AK241" i="1" s="1"/>
  <c r="AJ240" i="1"/>
  <c r="AK240" i="1" s="1"/>
  <c r="AJ239" i="1"/>
  <c r="AK239" i="1" s="1"/>
  <c r="AJ238" i="1"/>
  <c r="AK238" i="1" s="1"/>
  <c r="AJ237" i="1"/>
  <c r="AK237" i="1" s="1"/>
  <c r="AJ236" i="1"/>
  <c r="AK236" i="1" s="1"/>
  <c r="AJ235" i="1"/>
  <c r="AK235" i="1" s="1"/>
  <c r="AJ234" i="1"/>
  <c r="AK234" i="1" s="1"/>
  <c r="AJ233" i="1"/>
  <c r="AK233" i="1" s="1"/>
  <c r="AJ232" i="1"/>
  <c r="AK232" i="1" s="1"/>
  <c r="AJ231" i="1"/>
  <c r="AK231" i="1" s="1"/>
  <c r="AJ230" i="1"/>
  <c r="AK230" i="1" s="1"/>
  <c r="AJ229" i="1"/>
  <c r="AK229" i="1" s="1"/>
  <c r="AJ228" i="1"/>
  <c r="AK228" i="1" s="1"/>
  <c r="AJ227" i="1"/>
  <c r="AK227" i="1" s="1"/>
  <c r="AJ226" i="1"/>
  <c r="AK226" i="1" s="1"/>
  <c r="AJ225" i="1"/>
  <c r="AK225" i="1" s="1"/>
  <c r="AJ224" i="1"/>
  <c r="AK224" i="1" s="1"/>
  <c r="AJ223" i="1"/>
  <c r="AK223" i="1" s="1"/>
  <c r="AJ222" i="1"/>
  <c r="AK222" i="1" s="1"/>
  <c r="AJ221" i="1"/>
  <c r="AK221" i="1" s="1"/>
  <c r="AJ220" i="1"/>
  <c r="AK220" i="1" s="1"/>
  <c r="AJ219" i="1"/>
  <c r="AK219" i="1" s="1"/>
  <c r="AJ218" i="1"/>
  <c r="AK218" i="1" s="1"/>
  <c r="AJ217" i="1"/>
  <c r="AK217" i="1" s="1"/>
  <c r="AJ216" i="1"/>
  <c r="AK216" i="1" s="1"/>
  <c r="AJ215" i="1"/>
  <c r="AK215" i="1" s="1"/>
  <c r="AJ214" i="1"/>
  <c r="AK214" i="1" s="1"/>
  <c r="AJ213" i="1"/>
  <c r="AK213" i="1" s="1"/>
  <c r="AJ212" i="1"/>
  <c r="AK212" i="1" s="1"/>
  <c r="AJ211" i="1"/>
  <c r="AK211" i="1" s="1"/>
  <c r="AJ210" i="1"/>
  <c r="AK210" i="1" s="1"/>
  <c r="AJ209" i="1"/>
  <c r="AK209" i="1" s="1"/>
  <c r="AJ208" i="1"/>
  <c r="AK208" i="1" s="1"/>
  <c r="AJ207" i="1"/>
  <c r="AK207" i="1" s="1"/>
  <c r="AJ206" i="1"/>
  <c r="AK206" i="1" s="1"/>
  <c r="AJ205" i="1"/>
  <c r="AK205" i="1" s="1"/>
  <c r="AJ204" i="1"/>
  <c r="AK204" i="1" s="1"/>
  <c r="AJ203" i="1"/>
  <c r="AK203" i="1" s="1"/>
  <c r="AJ202" i="1"/>
  <c r="AK202" i="1" s="1"/>
  <c r="AJ201" i="1"/>
  <c r="AK201" i="1" s="1"/>
  <c r="AJ200" i="1"/>
  <c r="AK200" i="1" s="1"/>
  <c r="AJ199" i="1"/>
  <c r="AK199" i="1" s="1"/>
  <c r="AJ198" i="1"/>
  <c r="AK198" i="1" s="1"/>
  <c r="AJ197" i="1"/>
  <c r="AK197" i="1" s="1"/>
  <c r="AJ196" i="1"/>
  <c r="AK196" i="1" s="1"/>
  <c r="AJ195" i="1"/>
  <c r="AK195" i="1" s="1"/>
  <c r="AJ194" i="1"/>
  <c r="AK194" i="1" s="1"/>
  <c r="AJ193" i="1"/>
  <c r="AK193" i="1" s="1"/>
  <c r="AJ192" i="1"/>
  <c r="AK192" i="1" s="1"/>
  <c r="AJ191" i="1"/>
  <c r="AK191" i="1" s="1"/>
  <c r="AJ190" i="1"/>
  <c r="AK190" i="1" s="1"/>
  <c r="AJ189" i="1"/>
  <c r="AK189" i="1" s="1"/>
  <c r="AJ188" i="1"/>
  <c r="AK188" i="1" s="1"/>
  <c r="AJ187" i="1"/>
  <c r="AK187" i="1" s="1"/>
  <c r="AJ186" i="1"/>
  <c r="AK186" i="1" s="1"/>
  <c r="AJ185" i="1"/>
  <c r="AK185" i="1" s="1"/>
  <c r="AJ184" i="1"/>
  <c r="AK184" i="1" s="1"/>
  <c r="AJ183" i="1"/>
  <c r="AK183" i="1" s="1"/>
  <c r="AJ182" i="1"/>
  <c r="AK182" i="1" s="1"/>
  <c r="AJ181" i="1"/>
  <c r="AK181" i="1" s="1"/>
  <c r="AJ180" i="1"/>
  <c r="AK180" i="1" s="1"/>
  <c r="AJ179" i="1"/>
  <c r="AK179" i="1" s="1"/>
  <c r="AJ178" i="1"/>
  <c r="AK178" i="1" s="1"/>
  <c r="AJ177" i="1"/>
  <c r="AK177" i="1" s="1"/>
  <c r="AJ176" i="1"/>
  <c r="AK176" i="1" s="1"/>
  <c r="AJ175" i="1"/>
  <c r="AK175" i="1" s="1"/>
  <c r="AJ174" i="1"/>
  <c r="AK174" i="1" s="1"/>
  <c r="AJ173" i="1"/>
  <c r="AK173" i="1" s="1"/>
  <c r="AJ172" i="1"/>
  <c r="AK172" i="1" s="1"/>
  <c r="AJ171" i="1"/>
  <c r="AK171" i="1" s="1"/>
  <c r="AJ170" i="1"/>
  <c r="AK170" i="1" s="1"/>
  <c r="AJ169" i="1"/>
  <c r="AK169" i="1" s="1"/>
  <c r="AJ168" i="1"/>
  <c r="AK168" i="1" s="1"/>
  <c r="AJ167" i="1"/>
  <c r="AK167" i="1" s="1"/>
  <c r="AJ166" i="1"/>
  <c r="AK166" i="1" s="1"/>
  <c r="AJ165" i="1"/>
  <c r="AK165" i="1" s="1"/>
  <c r="AJ164" i="1"/>
  <c r="AK164" i="1" s="1"/>
  <c r="AJ163" i="1"/>
  <c r="AK163" i="1" s="1"/>
  <c r="AJ162" i="1"/>
  <c r="AK162" i="1" s="1"/>
  <c r="AJ161" i="1"/>
  <c r="AK161" i="1" s="1"/>
  <c r="AJ160" i="1"/>
  <c r="AK160" i="1" s="1"/>
  <c r="AJ159" i="1"/>
  <c r="AK159" i="1" s="1"/>
  <c r="AJ158" i="1"/>
  <c r="AK158" i="1" s="1"/>
  <c r="AJ157" i="1"/>
  <c r="AK157" i="1" s="1"/>
  <c r="AJ156" i="1"/>
  <c r="AK156" i="1" s="1"/>
  <c r="AJ155" i="1"/>
  <c r="AK155" i="1" s="1"/>
  <c r="AJ154" i="1"/>
  <c r="AK154" i="1" s="1"/>
  <c r="AJ153" i="1"/>
  <c r="AK153" i="1" s="1"/>
  <c r="AJ152" i="1"/>
  <c r="AK152" i="1" s="1"/>
  <c r="AJ151" i="1"/>
  <c r="AK151" i="1" s="1"/>
  <c r="AJ150" i="1"/>
  <c r="AK150" i="1" s="1"/>
  <c r="AJ149" i="1"/>
  <c r="AK149" i="1" s="1"/>
  <c r="AJ148" i="1"/>
  <c r="AK148" i="1" s="1"/>
  <c r="AJ147" i="1"/>
  <c r="AK147" i="1" s="1"/>
  <c r="AJ146" i="1"/>
  <c r="AK146" i="1" s="1"/>
  <c r="AJ145" i="1"/>
  <c r="AK145" i="1" s="1"/>
  <c r="AJ144" i="1"/>
  <c r="AK144" i="1" s="1"/>
  <c r="AJ143" i="1"/>
  <c r="AK143" i="1" s="1"/>
  <c r="AJ142" i="1"/>
  <c r="AK142" i="1" s="1"/>
  <c r="AJ141" i="1"/>
  <c r="AK141" i="1" s="1"/>
  <c r="AJ140" i="1"/>
  <c r="AK140" i="1" s="1"/>
  <c r="AJ139" i="1"/>
  <c r="AK139" i="1" s="1"/>
  <c r="AJ138" i="1"/>
  <c r="AK138" i="1" s="1"/>
  <c r="AJ137" i="1"/>
  <c r="AK137" i="1" s="1"/>
  <c r="AJ136" i="1"/>
  <c r="AK136" i="1" s="1"/>
  <c r="AJ135" i="1"/>
  <c r="AK135" i="1" s="1"/>
  <c r="AJ134" i="1"/>
  <c r="AK134" i="1" s="1"/>
  <c r="AJ133" i="1"/>
  <c r="AK133" i="1" s="1"/>
  <c r="AJ132" i="1"/>
  <c r="AK132" i="1" s="1"/>
  <c r="AJ131" i="1"/>
  <c r="AK131" i="1" s="1"/>
  <c r="AJ130" i="1"/>
  <c r="AK130" i="1" s="1"/>
  <c r="AJ129" i="1"/>
  <c r="AK129" i="1" s="1"/>
  <c r="AJ128" i="1"/>
  <c r="AK128" i="1" s="1"/>
  <c r="AJ127" i="1"/>
  <c r="AK127" i="1" s="1"/>
  <c r="AJ126" i="1"/>
  <c r="AK126" i="1" s="1"/>
  <c r="AJ125" i="1"/>
  <c r="AK125" i="1" s="1"/>
  <c r="AJ124" i="1"/>
  <c r="AK124" i="1" s="1"/>
  <c r="AJ123" i="1"/>
  <c r="AK123" i="1" s="1"/>
  <c r="AJ122" i="1"/>
  <c r="AK122" i="1" s="1"/>
  <c r="AJ121" i="1"/>
  <c r="AK121" i="1" s="1"/>
  <c r="AJ120" i="1"/>
  <c r="AK120" i="1" s="1"/>
  <c r="AJ119" i="1"/>
  <c r="AK119" i="1" s="1"/>
  <c r="AJ118" i="1"/>
  <c r="AK118" i="1" s="1"/>
  <c r="AJ117" i="1"/>
  <c r="AK117" i="1" s="1"/>
  <c r="AJ116" i="1"/>
  <c r="AK116" i="1" s="1"/>
  <c r="AJ115" i="1"/>
  <c r="AK115" i="1" s="1"/>
  <c r="AJ114" i="1"/>
  <c r="AK114" i="1" s="1"/>
  <c r="AJ113" i="1"/>
  <c r="AK113" i="1" s="1"/>
  <c r="AJ112" i="1"/>
  <c r="AK112" i="1" s="1"/>
  <c r="AJ111" i="1"/>
  <c r="AK111" i="1" s="1"/>
  <c r="AJ110" i="1"/>
  <c r="AK110" i="1" s="1"/>
  <c r="AJ109" i="1"/>
  <c r="AK109" i="1" s="1"/>
  <c r="AJ108" i="1"/>
  <c r="AK108" i="1" s="1"/>
  <c r="AJ107" i="1"/>
  <c r="AK107" i="1" s="1"/>
  <c r="AJ106" i="1"/>
  <c r="AK106" i="1" s="1"/>
  <c r="AJ105" i="1"/>
  <c r="AK105" i="1" s="1"/>
  <c r="AJ104" i="1"/>
  <c r="AK104" i="1" s="1"/>
  <c r="AJ103" i="1"/>
  <c r="AK103" i="1" s="1"/>
  <c r="AJ102" i="1"/>
  <c r="AK102" i="1" s="1"/>
  <c r="AJ101" i="1"/>
  <c r="AK101" i="1" s="1"/>
  <c r="AJ100" i="1"/>
  <c r="AK100" i="1" s="1"/>
  <c r="AJ99" i="1"/>
  <c r="AK99" i="1" s="1"/>
  <c r="AJ98" i="1"/>
  <c r="AK98" i="1" s="1"/>
  <c r="AJ97" i="1"/>
  <c r="AK97" i="1" s="1"/>
  <c r="AJ96" i="1"/>
  <c r="AK96" i="1" s="1"/>
  <c r="AJ95" i="1"/>
  <c r="AK95" i="1" s="1"/>
  <c r="AJ94" i="1"/>
  <c r="AK94" i="1" s="1"/>
  <c r="AJ93" i="1"/>
  <c r="AK93" i="1" s="1"/>
  <c r="AJ92" i="1"/>
  <c r="AK92" i="1" s="1"/>
  <c r="AJ91" i="1"/>
  <c r="AK91" i="1" s="1"/>
  <c r="AJ90" i="1"/>
  <c r="AK90" i="1" s="1"/>
  <c r="AJ89" i="1"/>
  <c r="AK89" i="1" s="1"/>
  <c r="AJ88" i="1"/>
  <c r="AK88" i="1" s="1"/>
  <c r="AJ87" i="1"/>
  <c r="AK87" i="1" s="1"/>
  <c r="AJ86" i="1"/>
  <c r="AK86" i="1" s="1"/>
  <c r="AJ85" i="1"/>
  <c r="AK85" i="1" s="1"/>
  <c r="AJ84" i="1"/>
  <c r="AK84" i="1" s="1"/>
  <c r="AJ83" i="1"/>
  <c r="AK83" i="1" s="1"/>
  <c r="AJ82" i="1"/>
  <c r="AK82" i="1" s="1"/>
  <c r="AJ81" i="1"/>
  <c r="AK81" i="1" s="1"/>
  <c r="AJ80" i="1"/>
  <c r="AK80" i="1" s="1"/>
  <c r="AJ79" i="1"/>
  <c r="AK79" i="1" s="1"/>
  <c r="AJ78" i="1"/>
  <c r="AK78" i="1" s="1"/>
  <c r="AJ77" i="1"/>
  <c r="AK77" i="1" s="1"/>
  <c r="AJ76" i="1"/>
  <c r="AK76" i="1" s="1"/>
  <c r="AJ75" i="1"/>
  <c r="AK75" i="1" s="1"/>
  <c r="AJ74" i="1"/>
  <c r="AK74" i="1" s="1"/>
  <c r="AJ73" i="1"/>
  <c r="AK73" i="1" s="1"/>
  <c r="AJ72" i="1"/>
  <c r="AK72" i="1" s="1"/>
  <c r="AJ71" i="1"/>
  <c r="AK71" i="1" s="1"/>
  <c r="AJ70" i="1"/>
  <c r="AK70" i="1" s="1"/>
  <c r="AJ69" i="1"/>
  <c r="AK69" i="1" s="1"/>
  <c r="AJ68" i="1"/>
  <c r="AK68" i="1" s="1"/>
  <c r="AJ67" i="1"/>
  <c r="AK67" i="1" s="1"/>
  <c r="AJ66" i="1"/>
  <c r="AK66" i="1" s="1"/>
  <c r="AJ65" i="1"/>
  <c r="AK65" i="1" s="1"/>
  <c r="AJ64" i="1"/>
  <c r="AK64" i="1" s="1"/>
  <c r="AJ63" i="1"/>
  <c r="AK63" i="1" s="1"/>
  <c r="AJ62" i="1"/>
  <c r="AK62" i="1" s="1"/>
  <c r="AJ61" i="1"/>
  <c r="AK61" i="1" s="1"/>
  <c r="AJ60" i="1"/>
  <c r="AK60" i="1" s="1"/>
  <c r="AJ59" i="1"/>
  <c r="AK59" i="1" s="1"/>
  <c r="AJ58" i="1"/>
  <c r="AK58" i="1" s="1"/>
  <c r="AJ57" i="1"/>
  <c r="AK57" i="1" s="1"/>
  <c r="AJ56" i="1"/>
  <c r="AK56" i="1" s="1"/>
  <c r="AJ55" i="1"/>
  <c r="AK55" i="1" s="1"/>
  <c r="AJ54" i="1"/>
  <c r="AK54" i="1" s="1"/>
  <c r="AJ53" i="1"/>
  <c r="AK53" i="1" s="1"/>
  <c r="AJ52" i="1"/>
  <c r="AK52" i="1" s="1"/>
  <c r="AJ51" i="1"/>
  <c r="AK51" i="1" s="1"/>
  <c r="AJ50" i="1"/>
  <c r="AK50" i="1" s="1"/>
  <c r="AJ49" i="1"/>
  <c r="AK49" i="1" s="1"/>
  <c r="AJ48" i="1"/>
  <c r="AK48" i="1" s="1"/>
  <c r="AJ47" i="1"/>
  <c r="AK47" i="1" s="1"/>
  <c r="AJ46" i="1"/>
  <c r="AK46" i="1" s="1"/>
  <c r="AJ45" i="1"/>
  <c r="AK45" i="1" s="1"/>
  <c r="AJ44" i="1"/>
  <c r="AK44" i="1" s="1"/>
  <c r="AJ43" i="1"/>
  <c r="AK43" i="1" s="1"/>
  <c r="AJ42" i="1"/>
  <c r="AK42" i="1" s="1"/>
  <c r="AJ41" i="1"/>
  <c r="AK41" i="1" s="1"/>
  <c r="AJ40" i="1"/>
  <c r="AK40" i="1" s="1"/>
  <c r="AJ39" i="1"/>
  <c r="AK39" i="1" s="1"/>
  <c r="AJ38" i="1"/>
  <c r="AK38" i="1" s="1"/>
  <c r="AJ37" i="1"/>
  <c r="AK37" i="1" s="1"/>
  <c r="AJ36" i="1"/>
  <c r="AK36" i="1" s="1"/>
  <c r="AJ35" i="1"/>
  <c r="AK35" i="1" s="1"/>
  <c r="AJ34" i="1"/>
  <c r="AK34" i="1" s="1"/>
  <c r="AJ33" i="1"/>
  <c r="AK33" i="1" s="1"/>
  <c r="AJ32" i="1"/>
  <c r="AK32" i="1" s="1"/>
  <c r="AJ31" i="1"/>
  <c r="AK31" i="1" s="1"/>
  <c r="AJ30" i="1"/>
  <c r="AK30" i="1" s="1"/>
  <c r="AJ29" i="1"/>
  <c r="AK29" i="1" s="1"/>
  <c r="AJ28" i="1"/>
  <c r="AK28" i="1" s="1"/>
  <c r="AJ27" i="1"/>
  <c r="AK27" i="1" s="1"/>
  <c r="AJ26" i="1"/>
  <c r="AK26" i="1" s="1"/>
  <c r="AJ25" i="1"/>
  <c r="AK25" i="1" s="1"/>
  <c r="AJ24" i="1"/>
  <c r="AK24" i="1" s="1"/>
  <c r="AJ23" i="1"/>
  <c r="AK23" i="1" s="1"/>
  <c r="AJ22" i="1"/>
  <c r="AK22" i="1" s="1"/>
  <c r="AJ21" i="1"/>
  <c r="AK21" i="1" s="1"/>
  <c r="AJ20" i="1"/>
  <c r="AK20" i="1" s="1"/>
  <c r="AJ19" i="1"/>
  <c r="AK19" i="1" s="1"/>
  <c r="AJ18" i="1"/>
  <c r="AK18" i="1" s="1"/>
  <c r="AJ17" i="1"/>
  <c r="AK17" i="1" s="1"/>
  <c r="AJ16" i="1"/>
  <c r="AK16" i="1" s="1"/>
  <c r="AJ15" i="1"/>
  <c r="AK15" i="1" s="1"/>
  <c r="AJ14" i="1"/>
  <c r="AK14" i="1" s="1"/>
  <c r="AJ13" i="1"/>
  <c r="AK13" i="1" s="1"/>
  <c r="AJ12" i="1"/>
  <c r="AK12" i="1" s="1"/>
  <c r="AJ11" i="1"/>
  <c r="AK11" i="1" s="1"/>
  <c r="AJ10" i="1"/>
  <c r="AK10" i="1" s="1"/>
  <c r="AJ9" i="1"/>
  <c r="AK9" i="1" s="1"/>
  <c r="AJ8" i="1"/>
  <c r="AK8" i="1" s="1"/>
  <c r="AJ7" i="1"/>
  <c r="AK7" i="1" s="1"/>
  <c r="AJ6" i="1"/>
  <c r="AK6" i="1" s="1"/>
  <c r="AJ5" i="1"/>
  <c r="AK5" i="1" s="1"/>
  <c r="AJ4" i="1"/>
  <c r="AK4" i="1" s="1"/>
  <c r="AJ3" i="1"/>
  <c r="AK3" i="1" s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AM465" i="1" l="1"/>
  <c r="AM469" i="1" s="1"/>
  <c r="AL465" i="1"/>
  <c r="AL469" i="1" s="1"/>
  <c r="AI465" i="1" l="1"/>
  <c r="AH465" i="1"/>
  <c r="AG465" i="1"/>
  <c r="AG469" i="1" s="1"/>
  <c r="AF465" i="1"/>
  <c r="X463" i="1" l="1"/>
  <c r="W463" i="1"/>
  <c r="V463" i="1"/>
  <c r="U463" i="1"/>
  <c r="X462" i="1"/>
  <c r="W462" i="1"/>
  <c r="V462" i="1"/>
  <c r="U462" i="1"/>
  <c r="X461" i="1"/>
  <c r="W461" i="1"/>
  <c r="V461" i="1"/>
  <c r="U461" i="1"/>
  <c r="X460" i="1"/>
  <c r="W460" i="1"/>
  <c r="V460" i="1"/>
  <c r="U460" i="1"/>
  <c r="X459" i="1"/>
  <c r="W459" i="1"/>
  <c r="V459" i="1"/>
  <c r="U459" i="1"/>
  <c r="X458" i="1"/>
  <c r="W458" i="1"/>
  <c r="V458" i="1"/>
  <c r="U458" i="1"/>
  <c r="X457" i="1"/>
  <c r="W457" i="1"/>
  <c r="V457" i="1"/>
  <c r="U457" i="1"/>
  <c r="X456" i="1"/>
  <c r="W456" i="1"/>
  <c r="V456" i="1"/>
  <c r="U456" i="1"/>
  <c r="X455" i="1"/>
  <c r="W455" i="1"/>
  <c r="V455" i="1"/>
  <c r="U455" i="1"/>
  <c r="X454" i="1"/>
  <c r="W454" i="1"/>
  <c r="V454" i="1"/>
  <c r="U454" i="1"/>
  <c r="X453" i="1"/>
  <c r="W453" i="1"/>
  <c r="V453" i="1"/>
  <c r="U453" i="1"/>
  <c r="X452" i="1"/>
  <c r="W452" i="1"/>
  <c r="V452" i="1"/>
  <c r="U452" i="1"/>
  <c r="X451" i="1"/>
  <c r="W451" i="1"/>
  <c r="V451" i="1"/>
  <c r="U451" i="1"/>
  <c r="X450" i="1"/>
  <c r="W450" i="1"/>
  <c r="V450" i="1"/>
  <c r="U450" i="1"/>
  <c r="X449" i="1"/>
  <c r="W449" i="1"/>
  <c r="V449" i="1"/>
  <c r="U449" i="1"/>
  <c r="X448" i="1"/>
  <c r="W448" i="1"/>
  <c r="V448" i="1"/>
  <c r="U448" i="1"/>
  <c r="X447" i="1"/>
  <c r="W447" i="1"/>
  <c r="V447" i="1"/>
  <c r="U447" i="1"/>
  <c r="X446" i="1"/>
  <c r="W446" i="1"/>
  <c r="V446" i="1"/>
  <c r="U446" i="1"/>
  <c r="X445" i="1"/>
  <c r="W445" i="1"/>
  <c r="V445" i="1"/>
  <c r="U445" i="1"/>
  <c r="X444" i="1"/>
  <c r="W444" i="1"/>
  <c r="V444" i="1"/>
  <c r="U444" i="1"/>
  <c r="X443" i="1"/>
  <c r="W443" i="1"/>
  <c r="V443" i="1"/>
  <c r="U443" i="1"/>
  <c r="X437" i="1" l="1"/>
  <c r="W437" i="1"/>
  <c r="V437" i="1"/>
  <c r="U437" i="1"/>
  <c r="AI469" i="1" l="1"/>
  <c r="AH469" i="1"/>
  <c r="AF469" i="1"/>
  <c r="X442" i="1"/>
  <c r="X441" i="1"/>
  <c r="X440" i="1"/>
  <c r="X439" i="1"/>
  <c r="X438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8" i="1"/>
  <c r="W439" i="1"/>
  <c r="W440" i="1"/>
  <c r="W441" i="1"/>
  <c r="W442" i="1"/>
  <c r="V7" i="1"/>
  <c r="V6" i="1"/>
  <c r="V5" i="1"/>
  <c r="V4" i="1"/>
  <c r="V3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8" i="1"/>
  <c r="V439" i="1"/>
  <c r="V440" i="1"/>
  <c r="V441" i="1"/>
  <c r="V44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8" i="1"/>
  <c r="U439" i="1"/>
  <c r="U440" i="1"/>
  <c r="U441" i="1"/>
  <c r="U442" i="1"/>
  <c r="AC465" i="1" l="1"/>
  <c r="AC469" i="1" s="1"/>
  <c r="X465" i="1"/>
  <c r="X469" i="1" s="1"/>
  <c r="W465" i="1"/>
  <c r="W469" i="1" s="1"/>
  <c r="U465" i="1"/>
  <c r="U469" i="1" s="1"/>
  <c r="V465" i="1"/>
  <c r="V469" i="1" s="1"/>
  <c r="Z465" i="1"/>
  <c r="Z469" i="1" s="1"/>
  <c r="S465" i="1"/>
  <c r="S469" i="1" s="1"/>
  <c r="AA465" i="1"/>
  <c r="AA469" i="1" s="1"/>
  <c r="AB465" i="1"/>
  <c r="AB469" i="1" s="1"/>
  <c r="AK465" i="1"/>
  <c r="AK469" i="1" s="1"/>
  <c r="AJ465" i="1"/>
  <c r="AJ469" i="1" s="1"/>
  <c r="R465" i="1"/>
  <c r="R469" i="1" s="1"/>
</calcChain>
</file>

<file path=xl/sharedStrings.xml><?xml version="1.0" encoding="utf-8"?>
<sst xmlns="http://schemas.openxmlformats.org/spreadsheetml/2006/main" count="6465" uniqueCount="2284">
  <si>
    <t>IDENTIFYING INFO</t>
  </si>
  <si>
    <t>On Order Info</t>
  </si>
  <si>
    <t>Dealer Name</t>
  </si>
  <si>
    <t>Month Ending</t>
  </si>
  <si>
    <t>UPC</t>
  </si>
  <si>
    <t>FBM Specific Combo</t>
  </si>
  <si>
    <t>FBA Specific Combo</t>
  </si>
  <si>
    <t>ASIN</t>
  </si>
  <si>
    <t>FBM Only vs FBA Designations</t>
  </si>
  <si>
    <t>Style #</t>
  </si>
  <si>
    <t>Description</t>
  </si>
  <si>
    <t>Color</t>
  </si>
  <si>
    <t>Size</t>
  </si>
  <si>
    <t>GB Units Sold</t>
  </si>
  <si>
    <t>GB $$ Volume</t>
  </si>
  <si>
    <t>FBM Units Sold</t>
  </si>
  <si>
    <t>FBM $$ Volume</t>
  </si>
  <si>
    <t>FBA Units Sold</t>
  </si>
  <si>
    <t>FBA $$ Volume</t>
  </si>
  <si>
    <t>Fulfillable Units FBM</t>
  </si>
  <si>
    <t>Current Holdings Inventory Value</t>
  </si>
  <si>
    <t>WIGF1019_051_wht_0</t>
  </si>
  <si>
    <t>FBM Only</t>
  </si>
  <si>
    <t>F1019</t>
  </si>
  <si>
    <t>White</t>
  </si>
  <si>
    <t>One Size Fits Most</t>
  </si>
  <si>
    <t>WIGF1054_051_whi_1</t>
  </si>
  <si>
    <t>ZZWIGF1054_051_whi_1</t>
  </si>
  <si>
    <t>F1054</t>
  </si>
  <si>
    <t>Medium</t>
  </si>
  <si>
    <t>WIGF1054_051_whi_2</t>
  </si>
  <si>
    <t>ZZWIGF1054_051_whi_2</t>
  </si>
  <si>
    <t>Large</t>
  </si>
  <si>
    <t>WIGF1054_051_whi_3</t>
  </si>
  <si>
    <t>ZZWIGF1054_051_whi_3</t>
  </si>
  <si>
    <t>X-Large</t>
  </si>
  <si>
    <t>WIGF1054_051_whi_4</t>
  </si>
  <si>
    <t>ZZWIGF1054_051_whi_4</t>
  </si>
  <si>
    <t>XX-Large</t>
  </si>
  <si>
    <t>WIGF1054_052_bla_1</t>
  </si>
  <si>
    <t>ZZWIGF1054_052_bla_1</t>
  </si>
  <si>
    <t>Black</t>
  </si>
  <si>
    <t>WIGF1054_052_bla_2</t>
  </si>
  <si>
    <t>ZZWIGF1054_052_bla_2</t>
  </si>
  <si>
    <t>WIGF1054_052_bla_3</t>
  </si>
  <si>
    <t>ZZWIGF1054_052_bla_3</t>
  </si>
  <si>
    <t>WIGF1055_051_wht_0</t>
  </si>
  <si>
    <t>ZZWIGF1055_051_wht_0</t>
  </si>
  <si>
    <t>F1055</t>
  </si>
  <si>
    <t>Wigwam King Cotton Heavyweight Crew Socks</t>
  </si>
  <si>
    <t>WIGF1055_051_wht_1</t>
  </si>
  <si>
    <t>ZZWIGF1055_051_wht_1</t>
  </si>
  <si>
    <t>WIGF1055_051_wht_2</t>
  </si>
  <si>
    <t>ZZWIGF1055_051_wht_2</t>
  </si>
  <si>
    <t>WIGF1055_052_blk_0</t>
  </si>
  <si>
    <t>ZZWIGF1055_052_blk_0</t>
  </si>
  <si>
    <t>WIGF1055_052_blk_1</t>
  </si>
  <si>
    <t>ZZWIGF1055_052_blk_1</t>
  </si>
  <si>
    <t>WIGF1055_052_blk_2</t>
  </si>
  <si>
    <t>ZZWIGF1055_052_blk_2</t>
  </si>
  <si>
    <t>WIGF1055_058_gry_0</t>
  </si>
  <si>
    <t>ZZWIGF1055_058_gry_0</t>
  </si>
  <si>
    <t>WIGF1055_058_gry_1</t>
  </si>
  <si>
    <t>ZZWIGF1055_058_gry_1</t>
  </si>
  <si>
    <t>WIGF1055_058_gry_2</t>
  </si>
  <si>
    <t>ZZWIGF1055_058_gry_2</t>
  </si>
  <si>
    <t>WIGF1057_51_whi_1</t>
  </si>
  <si>
    <t>ZZWIGF1057_51_whi_1</t>
  </si>
  <si>
    <t>F1057</t>
  </si>
  <si>
    <t>WIGF1057_51_whi_2</t>
  </si>
  <si>
    <t>ZZWIGF1057_51_whi_2</t>
  </si>
  <si>
    <t>WIGF1057_51_whi_3</t>
  </si>
  <si>
    <t>ZZWIGF1057_51_whi_3</t>
  </si>
  <si>
    <t>WIGF1061_051_wht_0</t>
  </si>
  <si>
    <t>ZZWIGF1061_051_wht_0</t>
  </si>
  <si>
    <t>F1061</t>
  </si>
  <si>
    <t>WIGF1061_051_wht_1</t>
  </si>
  <si>
    <t>ZZWIGF1061_051_wht_1</t>
  </si>
  <si>
    <t>WIGF1061_051_wht_2</t>
  </si>
  <si>
    <t>ZZWIGF1061_051_wht_2</t>
  </si>
  <si>
    <t>WIGF1061_051_wht_3</t>
  </si>
  <si>
    <t>ZZWIGF1061_051_wht_3</t>
  </si>
  <si>
    <t>WIGF1061_051_wht_4</t>
  </si>
  <si>
    <t>ZZWIGF1061_051_wht_4</t>
  </si>
  <si>
    <t>WIGF1061_052_blk_0</t>
  </si>
  <si>
    <t>ZZWIGF1061_052_blk_0</t>
  </si>
  <si>
    <t>WIGF1061_052_blk_1</t>
  </si>
  <si>
    <t>ZZWIGF1061_052_blk_1</t>
  </si>
  <si>
    <t>WIGF1061_052_blk_2</t>
  </si>
  <si>
    <t>ZZWIGF1061_052_blk_2</t>
  </si>
  <si>
    <t>WIGF1061_052_blk_3</t>
  </si>
  <si>
    <t>ZZWIGF1061_052_blk_3</t>
  </si>
  <si>
    <t>WIGF1071_051_wht_0</t>
  </si>
  <si>
    <t>ZZWIGF1071_051_wht_0</t>
  </si>
  <si>
    <t>FBA</t>
  </si>
  <si>
    <t>F1071</t>
  </si>
  <si>
    <t>Med</t>
  </si>
  <si>
    <t>WIGF1071_051_wht_2</t>
  </si>
  <si>
    <t>ZZWIGF1071_051_wht_2</t>
  </si>
  <si>
    <t>WIGF1071_052_blk_1</t>
  </si>
  <si>
    <t>ZZWIGF1071_052_blk_1</t>
  </si>
  <si>
    <t>WIGF1072_051_wht_0</t>
  </si>
  <si>
    <t>ZZWIGF1072_051_wht_0</t>
  </si>
  <si>
    <t>F1072</t>
  </si>
  <si>
    <t>WIGF1072_051_wht_1</t>
  </si>
  <si>
    <t>ZZWIGF1072_051_wht_1</t>
  </si>
  <si>
    <t>WIGF1072_051_wht_2</t>
  </si>
  <si>
    <t>ZZWIGF1072_051_wht_2</t>
  </si>
  <si>
    <t>WIGF1086_051_nat_0</t>
  </si>
  <si>
    <t>ZZWIGF1086_051_nat_0</t>
  </si>
  <si>
    <t>F1086</t>
  </si>
  <si>
    <t>Natural White</t>
  </si>
  <si>
    <t>WIGF1086_051_nat_1</t>
  </si>
  <si>
    <t>ZZWIGF1086_051_nat_1</t>
  </si>
  <si>
    <t>WIGF1086_051_nat_2</t>
  </si>
  <si>
    <t>ZZWIGF1086_051_nat_2</t>
  </si>
  <si>
    <t>WIGF1140_052_bla_1</t>
  </si>
  <si>
    <t>ZZWIGF1140_052_bla_1</t>
  </si>
  <si>
    <t>F1140</t>
  </si>
  <si>
    <t>WIGF1140_052_bla_2</t>
  </si>
  <si>
    <t>ZZWIGF1140_052_bla_2</t>
  </si>
  <si>
    <t>WIGF1140_052_bla_3</t>
  </si>
  <si>
    <t>ZZWIGF1140_052_bla_3</t>
  </si>
  <si>
    <t>WIGF1140_731_whi_1</t>
  </si>
  <si>
    <t>ZZWIGF1140_731_whi_1</t>
  </si>
  <si>
    <t>White/Black</t>
  </si>
  <si>
    <t>WIGF1140_731_whi_2</t>
  </si>
  <si>
    <t>ZZWIGF1140_731_whi_2</t>
  </si>
  <si>
    <t>WIGF1140_731_whi_3</t>
  </si>
  <si>
    <t>ZZWIGF1140_731_whi_3</t>
  </si>
  <si>
    <t>WIGF1180_051_wht_0</t>
  </si>
  <si>
    <t>ZZWIGF1180_051_wht_0</t>
  </si>
  <si>
    <t>F1180</t>
  </si>
  <si>
    <t>WIGF1180_051_wht_1</t>
  </si>
  <si>
    <t>ZZWIGF1180_051_wht_1</t>
  </si>
  <si>
    <t>WIGF1180_051_wht_2</t>
  </si>
  <si>
    <t>ZZWIGF1180_051_wht_2</t>
  </si>
  <si>
    <t>WIGF1221_051_wht_0</t>
  </si>
  <si>
    <t>ZZWIGF1221_051_wht_0</t>
  </si>
  <si>
    <t>F1221</t>
  </si>
  <si>
    <t>WIGF1221_051_wht_1</t>
  </si>
  <si>
    <t>ZZWIGF1221_051_wht_1</t>
  </si>
  <si>
    <t>WIGF1221_051_wht_2</t>
  </si>
  <si>
    <t>ZZWIGF1221_051_wht_2</t>
  </si>
  <si>
    <t>WIGF1221_052_blk_1</t>
  </si>
  <si>
    <t>ZZWIGF1221_052_blk_1</t>
  </si>
  <si>
    <t>WIGF1221_052_blk_2</t>
  </si>
  <si>
    <t>ZZWIGF1221_052_blk_2</t>
  </si>
  <si>
    <t>WIGF1221_052_blk_3</t>
  </si>
  <si>
    <t>ZZWIGF1221_052_blk_3</t>
  </si>
  <si>
    <t>WIGF1221_151_kha_2</t>
  </si>
  <si>
    <t>ZZWIGF1221_151_kha_2</t>
  </si>
  <si>
    <t>Khaki</t>
  </si>
  <si>
    <t>WIGF1292_052_blk_2</t>
  </si>
  <si>
    <t>ZZWIGF1292_052_blk_2</t>
  </si>
  <si>
    <t>F1292</t>
  </si>
  <si>
    <t>Wigwam Catalyst Ultra-Lightweight Low Cut Socks</t>
  </si>
  <si>
    <t>WIGF1363_051_wht_0</t>
  </si>
  <si>
    <t>ZZWIGF1363_051_wht_0</t>
  </si>
  <si>
    <t>F1363</t>
  </si>
  <si>
    <t>WIGF1363_051_wht_1</t>
  </si>
  <si>
    <t>ZZWIGF1363_051_wht_1</t>
  </si>
  <si>
    <t>WIGF1363_051_wht_2</t>
  </si>
  <si>
    <t>ZZWIGF1363_051_wht_2</t>
  </si>
  <si>
    <t>WIGF1363_051_wht_3</t>
  </si>
  <si>
    <t>ZZWIGF1363_051_wht_3</t>
  </si>
  <si>
    <t>WIGF1363_052_blk_0</t>
  </si>
  <si>
    <t>ZZWIGF1363_052_blk_0</t>
  </si>
  <si>
    <t>WIGF1363_052_blk_1</t>
  </si>
  <si>
    <t>ZZWIGF1363_052_blk_1</t>
  </si>
  <si>
    <t>WIGF1363_052_blk_2</t>
  </si>
  <si>
    <t>ZZWIGF1363_052_blk_2</t>
  </si>
  <si>
    <t>WIGF1364_051_wht_0</t>
  </si>
  <si>
    <t>ZZWIGF1364_051_wht_0</t>
  </si>
  <si>
    <t>F1364</t>
  </si>
  <si>
    <t>WIGF1364_051_wht_1</t>
  </si>
  <si>
    <t>ZZWIGF1364_051_wht_1</t>
  </si>
  <si>
    <t>WIGF1364_051_wht_2</t>
  </si>
  <si>
    <t>ZZWIGF1364_051_wht_2</t>
  </si>
  <si>
    <t>WIGF1364_051_wht_3</t>
  </si>
  <si>
    <t>ZZWIGF1364_051_wht_3</t>
  </si>
  <si>
    <t>WIGF1364_052_blk_0</t>
  </si>
  <si>
    <t>ZZWIGF1364_052_blk_0</t>
  </si>
  <si>
    <t>WIGF1364_052_blk_1</t>
  </si>
  <si>
    <t>ZZWIGF1364_052_blk_1</t>
  </si>
  <si>
    <t>WIGF1364_052_blk_2</t>
  </si>
  <si>
    <t>ZZWIGF1364_052_blk_2</t>
  </si>
  <si>
    <t>Navy</t>
  </si>
  <si>
    <t>Small</t>
  </si>
  <si>
    <t>Charcoal</t>
  </si>
  <si>
    <t>Catawba Grape</t>
  </si>
  <si>
    <t>Purple</t>
  </si>
  <si>
    <t>WIGF1702_072_gry_0</t>
  </si>
  <si>
    <t>ZZWIGF1702_072_gry_0</t>
  </si>
  <si>
    <t>F1702</t>
  </si>
  <si>
    <t>Grey</t>
  </si>
  <si>
    <t>WIGF1702_072_gry_3</t>
  </si>
  <si>
    <t>ZZWIGF1702_072_gry_3</t>
  </si>
  <si>
    <t>WIGF1702_625_blk_1</t>
  </si>
  <si>
    <t>ZZWIGF1702_625_blk_1</t>
  </si>
  <si>
    <t>Black Sand</t>
  </si>
  <si>
    <t>WIGF1702_625_blk_2</t>
  </si>
  <si>
    <t>ZZWIGF1702_625_blk_2</t>
  </si>
  <si>
    <t>WIGF1702_676_cat_1</t>
  </si>
  <si>
    <t>ZZWIGF1702_676_cat_1</t>
  </si>
  <si>
    <t>Oxford</t>
  </si>
  <si>
    <t>WIGF2020_207_gry_0</t>
  </si>
  <si>
    <t>ZZWIGF2020_207_gry_0</t>
  </si>
  <si>
    <t>F2020</t>
  </si>
  <si>
    <t>Sweatshirt Grey Lt./Navy</t>
  </si>
  <si>
    <t>WIGF2020_207_gry_1</t>
  </si>
  <si>
    <t>ZZWIGF2020_207_gry_1</t>
  </si>
  <si>
    <t>WIGF2034_052_bla_1</t>
  </si>
  <si>
    <t>ZZWIGF2034_052_bla_1</t>
  </si>
  <si>
    <t>F2034</t>
  </si>
  <si>
    <t>WIGF2034_052_bla_2</t>
  </si>
  <si>
    <t>ZZWIGF2034_052_bla_2</t>
  </si>
  <si>
    <t>WIGF2034_052_bla_3</t>
  </si>
  <si>
    <t>ZZWIGF2034_052_bla_3</t>
  </si>
  <si>
    <t>WIGF2034_10E_lig_1</t>
  </si>
  <si>
    <t>ZZWIGF2034_10E_lig_1</t>
  </si>
  <si>
    <t>Light Gray</t>
  </si>
  <si>
    <t>WIGF2034_10E_lig_2</t>
  </si>
  <si>
    <t>ZZWIGF2034_10E_lig_2</t>
  </si>
  <si>
    <t>WIGF2034_10E_lig_3</t>
  </si>
  <si>
    <t>ZZWIGF2034_10E_lig_3</t>
  </si>
  <si>
    <t>WIGF2034_252_ros_1</t>
  </si>
  <si>
    <t>ZZWIGF2034_252_ros_1</t>
  </si>
  <si>
    <t>Rose</t>
  </si>
  <si>
    <t>WIGF2034_586_nav_1</t>
  </si>
  <si>
    <t>ZZWIGF2034_586_nav_1</t>
  </si>
  <si>
    <t>WIGF2034_586_nav_2</t>
  </si>
  <si>
    <t>ZZWIGF2034_586_nav_2</t>
  </si>
  <si>
    <t>WIGF2034_586_nav_3</t>
  </si>
  <si>
    <t>ZZWIGF2034_586_nav_3</t>
  </si>
  <si>
    <t>WIGF2034_626_tea_1</t>
  </si>
  <si>
    <t>ZZWIGF2034_626_tea_1</t>
  </si>
  <si>
    <t>Teal</t>
  </si>
  <si>
    <t>WIGF2036_057_cha_0</t>
  </si>
  <si>
    <t>ZZWIGF2036_057_cha_0</t>
  </si>
  <si>
    <t>F2036</t>
  </si>
  <si>
    <t>WIGF2036_057_cha_1</t>
  </si>
  <si>
    <t>ZZWIGF2036_057_cha_1</t>
  </si>
  <si>
    <t>WIGF2036_057_cha_2</t>
  </si>
  <si>
    <t>ZZWIGF2036_057_cha_2</t>
  </si>
  <si>
    <t>WIGF2044_050_gry_0</t>
  </si>
  <si>
    <t>ZZWIGF2044_050_gry_0</t>
  </si>
  <si>
    <t>F2044</t>
  </si>
  <si>
    <t>Gray Twist</t>
  </si>
  <si>
    <t>WIGF2044_050_gry_1</t>
  </si>
  <si>
    <t>ZZWIGF2044_050_gry_1</t>
  </si>
  <si>
    <t>WIGF2044_050_gry_2</t>
  </si>
  <si>
    <t>ZZWIGF2044_050_gry_2</t>
  </si>
  <si>
    <t>WIGF2062_273_gry_1</t>
  </si>
  <si>
    <t>ZZWIGF2062_273_gry_1</t>
  </si>
  <si>
    <t>F2062</t>
  </si>
  <si>
    <t>Grey/Denim</t>
  </si>
  <si>
    <t>WIGF2062_792_blk_1</t>
  </si>
  <si>
    <t>ZZWIGF2062_792_blk_1</t>
  </si>
  <si>
    <t>Grey/Black</t>
  </si>
  <si>
    <t>WIGF2062_792_blk_2</t>
  </si>
  <si>
    <t>ZZWIGF2062_792_blk_2</t>
  </si>
  <si>
    <t>WIGF2062_792_blk_3</t>
  </si>
  <si>
    <t>ZZWIGF2062_792_blk_3</t>
  </si>
  <si>
    <t>WIGF2153_51_whi_1</t>
  </si>
  <si>
    <t>ZZWIGF2153_51_whi_1</t>
  </si>
  <si>
    <t>F2153</t>
  </si>
  <si>
    <t>WIGF2153_51_whi_2</t>
  </si>
  <si>
    <t>ZZWIGF2153_51_whi_2</t>
  </si>
  <si>
    <t>WIGF2153_51_whi_3</t>
  </si>
  <si>
    <t>ZZWIGF2153_51_whi_3</t>
  </si>
  <si>
    <t>WIGF2153_52_bla_1</t>
  </si>
  <si>
    <t>ZZWIGF2153_52_bla_1</t>
  </si>
  <si>
    <t>WIGF2153_52_bla_2</t>
  </si>
  <si>
    <t>ZZWIGF2153_52_bla_2</t>
  </si>
  <si>
    <t>WIGF2153_586_nav_1</t>
  </si>
  <si>
    <t>ZZWIGF2153_586_nav_1</t>
  </si>
  <si>
    <t>WIGF2153_586_nav_2</t>
  </si>
  <si>
    <t>ZZWIGF2153_586_nav_2</t>
  </si>
  <si>
    <t>WIGF2153_586_nav_3</t>
  </si>
  <si>
    <t>ZZWIGF2153_586_nav_3</t>
  </si>
  <si>
    <t>WIGF2161_51_whi_0</t>
  </si>
  <si>
    <t>ZZWIGF2161_51_whi_0</t>
  </si>
  <si>
    <t>F2161</t>
  </si>
  <si>
    <t>Medium/Smalll</t>
  </si>
  <si>
    <t>WIGF2161_51_whi_1</t>
  </si>
  <si>
    <t>ZZWIGF2161_51_whi_1</t>
  </si>
  <si>
    <t>WIGF2161_51_whi_2</t>
  </si>
  <si>
    <t>ZZWIGF2161_51_whi_2</t>
  </si>
  <si>
    <t>WIGF2161_51_whi_3</t>
  </si>
  <si>
    <t>ZZWIGF2161_51_whi_3</t>
  </si>
  <si>
    <t>WIGF2230_050_gtw_1</t>
  </si>
  <si>
    <t>ZZWIGF2230_050_gtw_1</t>
  </si>
  <si>
    <t>F2230</t>
  </si>
  <si>
    <t>WIGF2230_050_gtw_2</t>
  </si>
  <si>
    <t>ZZWIGF2230_050_gtw_2</t>
  </si>
  <si>
    <t>WIGF2230_052_blk_1</t>
  </si>
  <si>
    <t>ZZWIGF2230_052_blk_1</t>
  </si>
  <si>
    <t>WIGF2230_052_blk_2</t>
  </si>
  <si>
    <t>ZZWIGF2230_052_blk_2</t>
  </si>
  <si>
    <t>WIGF2300_055_gry_0</t>
  </si>
  <si>
    <t>ZZWIGF2300_055_gry_0</t>
  </si>
  <si>
    <t>F2300</t>
  </si>
  <si>
    <t>Grey Heather</t>
  </si>
  <si>
    <t>WIGF2300_055_gry_1</t>
  </si>
  <si>
    <t>ZZWIGF2300_055_gry_1</t>
  </si>
  <si>
    <t>WIGF2300_18F_nav_1</t>
  </si>
  <si>
    <t>ZZWIGF2300_18F_nav_1</t>
  </si>
  <si>
    <t>Navy I</t>
  </si>
  <si>
    <t>WIGF2300_18F_nav_2</t>
  </si>
  <si>
    <t>ZZWIGF2300_18F_nav_2</t>
  </si>
  <si>
    <t>WIGF2300_86D_oxf_1</t>
  </si>
  <si>
    <t>ZZWIGF2300_86D_oxf_1</t>
  </si>
  <si>
    <t>WIGF2300_86D_oxf_2</t>
  </si>
  <si>
    <t>ZZWIGF2300_86D_oxf_2</t>
  </si>
  <si>
    <t>WIGF2300_86D_oxf_3</t>
  </si>
  <si>
    <t>ZZWIGF2300_86D_oxf_3</t>
  </si>
  <si>
    <t>Olive Green Heather</t>
  </si>
  <si>
    <t>WIGF2322_22F_blk_0</t>
  </si>
  <si>
    <t>ZZWIGF2322_22F_blk_0</t>
  </si>
  <si>
    <t>F2322</t>
  </si>
  <si>
    <t>Black II</t>
  </si>
  <si>
    <t>WIGF2322_22F_blk_1</t>
  </si>
  <si>
    <t>ZZWIGF2322_22F_blk_1</t>
  </si>
  <si>
    <t>WIGF2322_22F_blk_2</t>
  </si>
  <si>
    <t>ZZWIGF2322_22F_blk_2</t>
  </si>
  <si>
    <t>WIGF2322_360_pur_0</t>
  </si>
  <si>
    <t>ZZWIGF2322_360_pur_0</t>
  </si>
  <si>
    <t>Purple Velvet</t>
  </si>
  <si>
    <t>WIGF2322_586_nvy_0</t>
  </si>
  <si>
    <t>ZZWIGF2322_586_nvy_0</t>
  </si>
  <si>
    <t>Navy II</t>
  </si>
  <si>
    <t>WIGF2322_586_nvy_1</t>
  </si>
  <si>
    <t>ZZWIGF2322_586_nvy_1</t>
  </si>
  <si>
    <t>WIGF2322_586_nvy_2</t>
  </si>
  <si>
    <t>ZZWIGF2322_586_nvy_2</t>
  </si>
  <si>
    <t>WIGF2322_76H_cha_0</t>
  </si>
  <si>
    <t>ZZWIGF2322_76H_cha_0</t>
  </si>
  <si>
    <t>Charcoal II</t>
  </si>
  <si>
    <t>WIGF2322_76H_cha_1</t>
  </si>
  <si>
    <t>ZZWIGF2322_76H_cha_1</t>
  </si>
  <si>
    <t>WIGF2322_76H_cha_2</t>
  </si>
  <si>
    <t>ZZWIGF2322_76H_cha_2</t>
  </si>
  <si>
    <t>WIGF2337_052_blk_0</t>
  </si>
  <si>
    <t>ZZWIGF2337_052_blk_0</t>
  </si>
  <si>
    <t>F2337</t>
  </si>
  <si>
    <t>WIGF2337_052_blk_1</t>
  </si>
  <si>
    <t>ZZWIGF2337_052_blk_1</t>
  </si>
  <si>
    <t>WIGF2337_052_blk_2</t>
  </si>
  <si>
    <t>ZZWIGF2337_052_blk_2</t>
  </si>
  <si>
    <t>WIGF2337_057_cha_0</t>
  </si>
  <si>
    <t>ZZWIGF2337_057_cha_0</t>
  </si>
  <si>
    <t>WIGF2337_057_cha_1</t>
  </si>
  <si>
    <t>ZZWIGF2337_057_cha_1</t>
  </si>
  <si>
    <t>WIGF2337_057_cha_2</t>
  </si>
  <si>
    <t>ZZWIGF2337_057_cha_2</t>
  </si>
  <si>
    <t>WIGF2337_87D_oli_0</t>
  </si>
  <si>
    <t>ZZWIGF2337_87D_oli_0</t>
  </si>
  <si>
    <t>WIGF2337_87D_oli_1</t>
  </si>
  <si>
    <t>ZZWIGF2337_87D_oli_1</t>
  </si>
  <si>
    <t>WIGF2409_586_nvy_1</t>
  </si>
  <si>
    <t>ZZWIGF2409_586_nvy_1</t>
  </si>
  <si>
    <t>F2409</t>
  </si>
  <si>
    <t>Wigwam Merino Comfort Hiker Lite Crew Socks</t>
  </si>
  <si>
    <t>WIGF2409_586_nvy_2</t>
  </si>
  <si>
    <t>ZZWIGF2409_586_nvy_2</t>
  </si>
  <si>
    <t>WIGF2409_76H_cha_0</t>
  </si>
  <si>
    <t>ZZWIGF2409_76H_cha_0</t>
  </si>
  <si>
    <t>WIGF2409_76H_cha_1</t>
  </si>
  <si>
    <t>ZZWIGF2409_76H_cha_1</t>
  </si>
  <si>
    <t>WIGF2409_76H_cha_2</t>
  </si>
  <si>
    <t>ZZWIGF2409_76H_cha_2</t>
  </si>
  <si>
    <t>WIGF2424_520_hma_0</t>
  </si>
  <si>
    <t>ZZWIGF2424_520_hma_0</t>
  </si>
  <si>
    <t>F2424</t>
  </si>
  <si>
    <t>Hot Magenta</t>
  </si>
  <si>
    <t>WIGF2432_052_bla_2</t>
  </si>
  <si>
    <t>ZZWIGF2432_052_bla_2</t>
  </si>
  <si>
    <t>F2432</t>
  </si>
  <si>
    <t>WIGF2432_052_bla_3</t>
  </si>
  <si>
    <t>ZZWIGF2432_052_bla_3</t>
  </si>
  <si>
    <t>WIGF2432_057_cha_1</t>
  </si>
  <si>
    <t>ZZWIGF2432_057_cha_1</t>
  </si>
  <si>
    <t>WIGF2432_057_cha_2</t>
  </si>
  <si>
    <t>ZZWIGF2432_057_cha_2</t>
  </si>
  <si>
    <t>WIGF2432_057_cha_3</t>
  </si>
  <si>
    <t>ZZWIGF2432_057_cha_3</t>
  </si>
  <si>
    <t>WIGF2432_125_lod_1</t>
  </si>
  <si>
    <t>ZZWIGF2432_125_lod_1</t>
  </si>
  <si>
    <t>Loden</t>
  </si>
  <si>
    <t>WIGF2432_125_lod_2</t>
  </si>
  <si>
    <t>ZZWIGF2432_125_lod_2</t>
  </si>
  <si>
    <t>Black/Grey</t>
  </si>
  <si>
    <t>Blue/Green</t>
  </si>
  <si>
    <t>White/Grey</t>
  </si>
  <si>
    <t>Yucca/Red</t>
  </si>
  <si>
    <t>F2443</t>
  </si>
  <si>
    <t>Wigwam Surpass Lightweight Quarter Socks</t>
  </si>
  <si>
    <t>WIGF2443_238_blu_1</t>
  </si>
  <si>
    <t>ZZWIGF2443_238_blu_1</t>
  </si>
  <si>
    <t>WIGF2443_600_red_0</t>
  </si>
  <si>
    <t>ZZWIGF2443_600_red_0</t>
  </si>
  <si>
    <t>Red/Orange</t>
  </si>
  <si>
    <t>WIGF2443_902_wht_0</t>
  </si>
  <si>
    <t>ZZWIGF2443_902_wht_0</t>
  </si>
  <si>
    <t>WIGF2444_198_blk_0</t>
  </si>
  <si>
    <t>ZZWIGF2444_198_blk_0</t>
  </si>
  <si>
    <t>F2444</t>
  </si>
  <si>
    <t>Wigwam Surpass Lightweight Mid-Crew Socks</t>
  </si>
  <si>
    <t>WIGF2444_600_red_0</t>
  </si>
  <si>
    <t>ZZWIGF2444_600_red_0</t>
  </si>
  <si>
    <t>WIGF2444_902_wht_0</t>
  </si>
  <si>
    <t>ZZWIGF2444_902_wht_0</t>
  </si>
  <si>
    <t>Surf the Web</t>
  </si>
  <si>
    <t>F2449</t>
  </si>
  <si>
    <t>WIGF2449_052_blk_3</t>
  </si>
  <si>
    <t>ZZWIGF2449_052_blk_3</t>
  </si>
  <si>
    <t>F2451</t>
  </si>
  <si>
    <t>WIGF2451_052_blk_3</t>
  </si>
  <si>
    <t>ZZWIGF2451_052_blk_3</t>
  </si>
  <si>
    <t>WIGF2451_377_sur_1</t>
  </si>
  <si>
    <t>ZZWIGF2451_377_sur_1</t>
  </si>
  <si>
    <t>WIGF2451_377_sur_2</t>
  </si>
  <si>
    <t>ZZWIGF2451_377_sur_2</t>
  </si>
  <si>
    <t>WIGF2451_377_sur_3</t>
  </si>
  <si>
    <t>ZZWIGF2451_377_sur_3</t>
  </si>
  <si>
    <t>WIGF2454_052_blk_1</t>
  </si>
  <si>
    <t>ZZWIGF2454_052_blk_1</t>
  </si>
  <si>
    <t>F2454</t>
  </si>
  <si>
    <t>WIGF2454_052_blk_2</t>
  </si>
  <si>
    <t>ZZWIGF2454_052_blk_2</t>
  </si>
  <si>
    <t>WIGF4658_052_blk_0</t>
  </si>
  <si>
    <t>ZZWIGF4658_052_blk_0</t>
  </si>
  <si>
    <t>F4658</t>
  </si>
  <si>
    <t>WIGF4658_308_grn_0</t>
  </si>
  <si>
    <t>ZZWIGF4658_308_grn_0</t>
  </si>
  <si>
    <t>Foliage Green</t>
  </si>
  <si>
    <t>WIGF4658_586_nvy_0</t>
  </si>
  <si>
    <t>ZZWIGF4658_586_nvy_0</t>
  </si>
  <si>
    <t>WIGF4707_052_bla_0</t>
  </si>
  <si>
    <t>ZZWIGF4707_052_bla_0</t>
  </si>
  <si>
    <t>F4707</t>
  </si>
  <si>
    <t>WIGF4707_068_med_0</t>
  </si>
  <si>
    <t>ZZWIGF4707_068_med_0</t>
  </si>
  <si>
    <t>Medium Gray Heather</t>
  </si>
  <si>
    <t>WIGF4707_586_nav_0</t>
  </si>
  <si>
    <t>ZZWIGF4707_586_nav_0</t>
  </si>
  <si>
    <t>WIGF4709_052_blk_0</t>
  </si>
  <si>
    <t>ZZWIGF4709_052_blk_0</t>
  </si>
  <si>
    <t>F4709</t>
  </si>
  <si>
    <t>WIGF4709_081_lch_0</t>
  </si>
  <si>
    <t>ZZWIGF4709_081_lch_0</t>
  </si>
  <si>
    <t>Light Charcoal</t>
  </si>
  <si>
    <t>WIGF4709_264_bzo_0</t>
  </si>
  <si>
    <t>ZZWIGF4709_264_bzo_0</t>
  </si>
  <si>
    <t>Blaze Orange</t>
  </si>
  <si>
    <t>WIGF4709_294_red_0</t>
  </si>
  <si>
    <t>ZZWIGF4709_294_red_0</t>
  </si>
  <si>
    <t>Red</t>
  </si>
  <si>
    <t>WIGF4709_311_flo_0</t>
  </si>
  <si>
    <t>ZZWIGF4709_311_flo_0</t>
  </si>
  <si>
    <t>Flo Green</t>
  </si>
  <si>
    <t>WIGF4709_586_nvy_0</t>
  </si>
  <si>
    <t>ZZWIGF4709_586_nvy_0</t>
  </si>
  <si>
    <t>WIGF4709_66J_olv_0</t>
  </si>
  <si>
    <t>ZZWIGF4709_66J_olv_0</t>
  </si>
  <si>
    <t>New Olive</t>
  </si>
  <si>
    <t>WIGF4720_052_blk_0</t>
  </si>
  <si>
    <t>ZZWIGF4720_052_blk_0</t>
  </si>
  <si>
    <t>F4720</t>
  </si>
  <si>
    <t>WIGF4720_586_nvy_0</t>
  </si>
  <si>
    <t>ZZWIGF4720_586_nvy_0</t>
  </si>
  <si>
    <t>WIGF5301_731_whi_1</t>
  </si>
  <si>
    <t>ZZWIGF5301_731_whi_1</t>
  </si>
  <si>
    <t>F5301</t>
  </si>
  <si>
    <t>WIGF5301_902_whi_1</t>
  </si>
  <si>
    <t>ZZWIGF5301_902_whi_1</t>
  </si>
  <si>
    <t>White/Gray</t>
  </si>
  <si>
    <t>WIGF5345_052_bla_1</t>
  </si>
  <si>
    <t>ZZWIGF5345_052_bla_1</t>
  </si>
  <si>
    <t>F5345</t>
  </si>
  <si>
    <t>Wigwam Pointe Crew Socks</t>
  </si>
  <si>
    <t>WIGF5345_109_bro_1</t>
  </si>
  <si>
    <t>ZZWIGF5345_109_bro_1</t>
  </si>
  <si>
    <t>Brown</t>
  </si>
  <si>
    <t>WIGF5345_586_nvy_1</t>
  </si>
  <si>
    <t>ZZWIGF5345_586_nvy_1</t>
  </si>
  <si>
    <t>WIGF6027_051_wht_1</t>
  </si>
  <si>
    <t>ZZWIGF6027_051_wht_1</t>
  </si>
  <si>
    <t>F6027</t>
  </si>
  <si>
    <t>WIGF6027_051_wht_2</t>
  </si>
  <si>
    <t>ZZWIGF6027_051_wht_2</t>
  </si>
  <si>
    <t>WIGF6027_052_blk_1</t>
  </si>
  <si>
    <t>ZZWIGF6027_052_blk_1</t>
  </si>
  <si>
    <t>WIGF6027_052_blk_2</t>
  </si>
  <si>
    <t>ZZWIGF6027_052_blk_2</t>
  </si>
  <si>
    <t>WIGF6029_051_wht_0</t>
  </si>
  <si>
    <t>ZZWIGF6029_051_wht_0</t>
  </si>
  <si>
    <t>F6029</t>
  </si>
  <si>
    <t>WIGF6029_051_wht_1</t>
  </si>
  <si>
    <t>ZZWIGF6029_051_wht_1</t>
  </si>
  <si>
    <t>WIGF6029_051_wht_2</t>
  </si>
  <si>
    <t>ZZWIGF6029_051_wht_2</t>
  </si>
  <si>
    <t>WIGF6029_052_blk_0</t>
  </si>
  <si>
    <t>ZZWIGF6029_052_blk_0</t>
  </si>
  <si>
    <t>WIGF6029_052_blk_1</t>
  </si>
  <si>
    <t>ZZWIGF6029_052_blk_1</t>
  </si>
  <si>
    <t>WIGF6062_072_gre_2</t>
  </si>
  <si>
    <t>ZZWIGF6062_072_gre_2</t>
  </si>
  <si>
    <t>F6062</t>
  </si>
  <si>
    <t>WIGF6062_51_whi_2</t>
  </si>
  <si>
    <t>ZZWIGF6062_51_whi_2</t>
  </si>
  <si>
    <t>WIGF6063_51_whi_2</t>
  </si>
  <si>
    <t>ZZWIGF6063_51_whi_2</t>
  </si>
  <si>
    <t>F6063</t>
  </si>
  <si>
    <t>WIGF6063_52_bla_2</t>
  </si>
  <si>
    <t>ZZWIGF6063_52_bla_2</t>
  </si>
  <si>
    <t>WIGF6063_52_bla_3</t>
  </si>
  <si>
    <t>ZZWIGF6063_52_bla_3</t>
  </si>
  <si>
    <t>WIGF6066_198_bla_1</t>
  </si>
  <si>
    <t>ZZWIGF6066_198_bla_1</t>
  </si>
  <si>
    <t>F6066</t>
  </si>
  <si>
    <t>Black/Gray</t>
  </si>
  <si>
    <t>WIGF6066_198_bla_2</t>
  </si>
  <si>
    <t>ZZWIGF6066_198_bla_2</t>
  </si>
  <si>
    <t>WIGF6066_198_bla_3</t>
  </si>
  <si>
    <t>ZZWIGF6066_198_bla_3</t>
  </si>
  <si>
    <t>WIGF6066_931_gry_2</t>
  </si>
  <si>
    <t>ZZWIGF6066_931_gry_2</t>
  </si>
  <si>
    <t>Gray/Charcoal</t>
  </si>
  <si>
    <t>WIGF6066_931_gry_3</t>
  </si>
  <si>
    <t>ZZWIGF6066_931_gry_3</t>
  </si>
  <si>
    <t>WIGF6067_198_bla_1</t>
  </si>
  <si>
    <t>ZZWIGF6067_198_bla_1</t>
  </si>
  <si>
    <t>F6067</t>
  </si>
  <si>
    <t>WIGF6067_198_bla_2</t>
  </si>
  <si>
    <t>ZZWIGF6067_198_bla_2</t>
  </si>
  <si>
    <t>WIGF6067_198_bla_3</t>
  </si>
  <si>
    <t>ZZWIGF6067_198_bla_3</t>
  </si>
  <si>
    <t>WIGF6067_931_gre_1</t>
  </si>
  <si>
    <t>ZZWIGF6067_931_gre_1</t>
  </si>
  <si>
    <t>WIGF6067_931_gre_2</t>
  </si>
  <si>
    <t>ZZWIGF6067_931_gre_2</t>
  </si>
  <si>
    <t>WIGF6067_931_gre_3</t>
  </si>
  <si>
    <t>ZZWIGF6067_931_gre_3</t>
  </si>
  <si>
    <t>WIGF6077_21G_lig_1</t>
  </si>
  <si>
    <t>ZZWIGF6077_21G_lig_1</t>
  </si>
  <si>
    <t>F6077</t>
  </si>
  <si>
    <t>Light Gray Heather</t>
  </si>
  <si>
    <t>WIGF6077_21G_lig_2</t>
  </si>
  <si>
    <t>ZZWIGF6077_21G_lig_2</t>
  </si>
  <si>
    <t>WIGF6077_21G_lig_3</t>
  </si>
  <si>
    <t>ZZWIGF6077_21G_lig_3</t>
  </si>
  <si>
    <t>WIGF6077_901_nvy_1</t>
  </si>
  <si>
    <t>ZZWIGF6077_901_nvy_1</t>
  </si>
  <si>
    <t>Navy/Pewter</t>
  </si>
  <si>
    <t>WIGF6077_901_nvy_2</t>
  </si>
  <si>
    <t>ZZWIGF6077_901_nvy_2</t>
  </si>
  <si>
    <t>WIGF6109_072_gry_1</t>
  </si>
  <si>
    <t>ZZWIGF6109_072_gry_1</t>
  </si>
  <si>
    <t>F6109</t>
  </si>
  <si>
    <t>WIGF6109_072_gry_2</t>
  </si>
  <si>
    <t>ZZWIGF6109_072_gry_2</t>
  </si>
  <si>
    <t>WIGF6109_51_whi_1</t>
  </si>
  <si>
    <t>ZZWIGF6109_51_whi_1</t>
  </si>
  <si>
    <t>WIGF6109_51_whi_2</t>
  </si>
  <si>
    <t>ZZWIGF6109_51_whi_2</t>
  </si>
  <si>
    <t>F6221</t>
  </si>
  <si>
    <t>Wigwam Elemental Crew Socks</t>
  </si>
  <si>
    <t>WIGF6221_057_chr_0</t>
  </si>
  <si>
    <t>ZZWIGF6221_057_chr_0</t>
  </si>
  <si>
    <t>WIGF6221_057_chr_1</t>
  </si>
  <si>
    <t>ZZWIGF6221_057_chr_1</t>
  </si>
  <si>
    <t>WIGF6221_625_bks_0</t>
  </si>
  <si>
    <t>ZZWIGF6221_625_bks_0</t>
  </si>
  <si>
    <t>WIGF6221_625_bks_1</t>
  </si>
  <si>
    <t>ZZWIGF6221_625_bks_1</t>
  </si>
  <si>
    <t>WIGF6221_677_lrw_0</t>
  </si>
  <si>
    <t>ZZWIGF6221_677_lrw_0</t>
  </si>
  <si>
    <t>Laurel Wreath</t>
  </si>
  <si>
    <t>WIGF6222_052_blk_0</t>
  </si>
  <si>
    <t>ZZWIGF6222_052_blk_0</t>
  </si>
  <si>
    <t>F6222</t>
  </si>
  <si>
    <t>Wigwam Forge Crew Socks</t>
  </si>
  <si>
    <t>WIGF6222_072_gry_0</t>
  </si>
  <si>
    <t>ZZWIGF6222_072_gry_0</t>
  </si>
  <si>
    <t>Gray</t>
  </si>
  <si>
    <t>WIGF6222_768_par_0</t>
  </si>
  <si>
    <t>ZZWIGF6222_768_par_0</t>
  </si>
  <si>
    <t>Parasailing</t>
  </si>
  <si>
    <t>WIGF6238_051_wht_0</t>
  </si>
  <si>
    <t>ZZWIGF6238_051_wht_0</t>
  </si>
  <si>
    <t>F6238</t>
  </si>
  <si>
    <t>Wigwam Attain Lightweight Low Socks</t>
  </si>
  <si>
    <t>WIGF6238_051_wht_1</t>
  </si>
  <si>
    <t>ZZWIGF6238_051_wht_1</t>
  </si>
  <si>
    <t>WIGF6238_051_wht_2</t>
  </si>
  <si>
    <t>ZZWIGF6238_051_wht_2</t>
  </si>
  <si>
    <t>WIGF6238_452_pur_0</t>
  </si>
  <si>
    <t>ZZWIGF6238_452_pur_0</t>
  </si>
  <si>
    <t>WIGF6238_93F_gra_0</t>
  </si>
  <si>
    <t>ZZWIGF6238_93F_gra_0</t>
  </si>
  <si>
    <t>Graphite</t>
  </si>
  <si>
    <t>WIGF6238_93F_gra_1</t>
  </si>
  <si>
    <t>ZZWIGF6238_93F_gra_1</t>
  </si>
  <si>
    <t>F6281</t>
  </si>
  <si>
    <t>WIGF6281_79D_car_1</t>
  </si>
  <si>
    <t>ZZWIGF6281_79D_car_1</t>
  </si>
  <si>
    <t>Caribbean</t>
  </si>
  <si>
    <t>WIGF6281_79D_car_2</t>
  </si>
  <si>
    <t>ZZWIGF6281_79D_car_2</t>
  </si>
  <si>
    <t>WIGF6281_809_ony_1</t>
  </si>
  <si>
    <t>ZZWIGF6281_809_ony_1</t>
  </si>
  <si>
    <t>Onyx</t>
  </si>
  <si>
    <t>WIGF6281_809_ony_2</t>
  </si>
  <si>
    <t>ZZWIGF6281_809_ony_2</t>
  </si>
  <si>
    <t>WIGF6281_809_ony_3</t>
  </si>
  <si>
    <t>ZZWIGF6281_809_ony_3</t>
  </si>
  <si>
    <t>F6282</t>
  </si>
  <si>
    <t>WIGF6282_35E_gra_1</t>
  </si>
  <si>
    <t>ZZWIGF6282_35E_gra_1</t>
  </si>
  <si>
    <t>Granite</t>
  </si>
  <si>
    <t>WIGF6282_79D_car_1</t>
  </si>
  <si>
    <t>ZZWIGF6282_79D_car_1</t>
  </si>
  <si>
    <t>WIGF6282_79D_car_2</t>
  </si>
  <si>
    <t>ZZWIGF6282_79D_car_2</t>
  </si>
  <si>
    <t>WIGF6282_809_ony_1</t>
  </si>
  <si>
    <t>ZZWIGF6282_809_ony_1</t>
  </si>
  <si>
    <t>WIGF6282_809_ony_2</t>
  </si>
  <si>
    <t>ZZWIGF6282_809_ony_2</t>
  </si>
  <si>
    <t>WIGF6282_809_ony_3</t>
  </si>
  <si>
    <t>ZZWIGF6282_809_ony_3</t>
  </si>
  <si>
    <t>WIGF8031_052_blk_1</t>
  </si>
  <si>
    <t>ZZWIGF8031_052_blk_1</t>
  </si>
  <si>
    <t>F8031</t>
  </si>
  <si>
    <t>P2800</t>
  </si>
  <si>
    <t>Caribbean/Granite</t>
  </si>
  <si>
    <t>MD</t>
  </si>
  <si>
    <t>WIGP2800_005_car_1</t>
  </si>
  <si>
    <t>ZZWIGP2800_005_car_1</t>
  </si>
  <si>
    <t>WIGP2800_79D_car_1</t>
  </si>
  <si>
    <t>ZZWIGP2800_79D_car_1</t>
  </si>
  <si>
    <t>WIGP2800_79D_car_2</t>
  </si>
  <si>
    <t>ZZWIGP2800_79D_car_2</t>
  </si>
  <si>
    <t>LG</t>
  </si>
  <si>
    <t>WIGP2800_809_ony_1</t>
  </si>
  <si>
    <t>ZZWIGP2800_809_ony_1</t>
  </si>
  <si>
    <t>WIGP2800_809_ony_2</t>
  </si>
  <si>
    <t>ZZWIGP2800_809_ony_2</t>
  </si>
  <si>
    <t>WIGP2801_001_whi_1</t>
  </si>
  <si>
    <t>ZZWIGP2801_001_whi_1</t>
  </si>
  <si>
    <t>P2801</t>
  </si>
  <si>
    <t>WIGP2801_001_whi_2</t>
  </si>
  <si>
    <t>ZZWIGP2801_001_whi_2</t>
  </si>
  <si>
    <t>WIGP2801_001_whi_3</t>
  </si>
  <si>
    <t>ZZWIGP2801_001_whi_3</t>
  </si>
  <si>
    <t>XL</t>
  </si>
  <si>
    <t>WIGP2801_002_bla_2</t>
  </si>
  <si>
    <t>ZZWIGP2801_002_bla_2</t>
  </si>
  <si>
    <t>WIGP2802_001_whi_0</t>
  </si>
  <si>
    <t>ZZWIGP2802_001_whi_0</t>
  </si>
  <si>
    <t>P2802</t>
  </si>
  <si>
    <t>OS</t>
  </si>
  <si>
    <t>WIGP2803_001_whi_0</t>
  </si>
  <si>
    <t>ZZWIGP2803_001_whi_0</t>
  </si>
  <si>
    <t>P2803</t>
  </si>
  <si>
    <t>WIGP2803_001_whi_1</t>
  </si>
  <si>
    <t>ZZWIGP2803_001_whi_1</t>
  </si>
  <si>
    <t>WIGP2803_001_whi_2</t>
  </si>
  <si>
    <t>ZZWIGP2803_001_whi_2</t>
  </si>
  <si>
    <t>WIGP2803_001_whi_3</t>
  </si>
  <si>
    <t>ZZWIGP2803_001_whi_3</t>
  </si>
  <si>
    <t>WIGP2804_001_whi_1</t>
  </si>
  <si>
    <t>ZZWIGP2804_001_whi_1</t>
  </si>
  <si>
    <t>P2804</t>
  </si>
  <si>
    <t>WIGP2804_001_whi_2</t>
  </si>
  <si>
    <t>ZZWIGP2804_001_whi_2</t>
  </si>
  <si>
    <t>WIGP2805_001_whi_0</t>
  </si>
  <si>
    <t>ZZWIGP2805_001_whi_0</t>
  </si>
  <si>
    <t>P2805</t>
  </si>
  <si>
    <t>MS</t>
  </si>
  <si>
    <t>WIGP2805_001_whi_1</t>
  </si>
  <si>
    <t>ZZWIGP2805_001_whi_1</t>
  </si>
  <si>
    <t>WIGP2805_001_whi_2</t>
  </si>
  <si>
    <t>ZZWIGP2805_001_whi_2</t>
  </si>
  <si>
    <t>WIGP2805_001_whi_3</t>
  </si>
  <si>
    <t>ZZWIGP2805_001_whi_3</t>
  </si>
  <si>
    <t>WIGP2812_79D_car_1</t>
  </si>
  <si>
    <t>ZZWIGP2812_79D_car_1</t>
  </si>
  <si>
    <t>P2812</t>
  </si>
  <si>
    <t>WIGP2812_79D_car_2</t>
  </si>
  <si>
    <t>ZZWIGP2812_79D_car_2</t>
  </si>
  <si>
    <t>WIGP2812_809_ony_1</t>
  </si>
  <si>
    <t>ZZWIGP2812_809_ony_1</t>
  </si>
  <si>
    <t>WIGP2812_809_ony_2</t>
  </si>
  <si>
    <t>ZZWIGP2812_809_ony_2</t>
  </si>
  <si>
    <t>WIGP2812_809_ony_3</t>
  </si>
  <si>
    <t>ZZWIGP2812_809_ony_3</t>
  </si>
  <si>
    <t>WIGP2815_051_whi_1</t>
  </si>
  <si>
    <t>ZZWIGP2815_051_whi_1</t>
  </si>
  <si>
    <t>P2815</t>
  </si>
  <si>
    <t>WIGP2815_051_whi_2</t>
  </si>
  <si>
    <t>ZZWIGP2815_051_whi_2</t>
  </si>
  <si>
    <t>WIGP2815_051_whi_3</t>
  </si>
  <si>
    <t>ZZWIGP2815_051_whi_3</t>
  </si>
  <si>
    <t>WIGP2815_052_bla_1</t>
  </si>
  <si>
    <t>ZZWIGP2815_052_bla_1</t>
  </si>
  <si>
    <t>WIGP2815_052_bla_2</t>
  </si>
  <si>
    <t>ZZWIGP2815_052_bla_2</t>
  </si>
  <si>
    <t>WIGP2816_051_whi_1</t>
  </si>
  <si>
    <t>ZZWIGP2816_051_whi_1</t>
  </si>
  <si>
    <t>P2816</t>
  </si>
  <si>
    <t>WIGP2816_051_whi_2</t>
  </si>
  <si>
    <t>ZZWIGP2816_051_whi_2</t>
  </si>
  <si>
    <t>WIGP2816_052_bla_1</t>
  </si>
  <si>
    <t>ZZWIGP2816_052_bla_1</t>
  </si>
  <si>
    <t>WIGP2816_052_bla_2</t>
  </si>
  <si>
    <t>ZZWIGP2816_052_bla_2</t>
  </si>
  <si>
    <t>WIGP2820_931_gre_1</t>
  </si>
  <si>
    <t>ZZWIGP2820_931_gre_1</t>
  </si>
  <si>
    <t>P2820</t>
  </si>
  <si>
    <t>Grey/Charcoal</t>
  </si>
  <si>
    <t>WIGP2820_931_gre_2</t>
  </si>
  <si>
    <t>ZZWIGP2820_931_gre_2</t>
  </si>
  <si>
    <t>WIGP2820_931_gre_3</t>
  </si>
  <si>
    <t>ZZWIGP2820_931_gre_3</t>
  </si>
  <si>
    <t>WIGP2823_051_whi_1</t>
  </si>
  <si>
    <t>ZZWIGP2823_051_whi_1</t>
  </si>
  <si>
    <t>P2823</t>
  </si>
  <si>
    <t>WIGP2823_051_whi_2</t>
  </si>
  <si>
    <t>ZZWIGP2823_051_whi_2</t>
  </si>
  <si>
    <t>WIGP2823_452_pur_1</t>
  </si>
  <si>
    <t>ZZWIGP2823_452_pur_1</t>
  </si>
  <si>
    <t>WIGP2823_93F_gra_1</t>
  </si>
  <si>
    <t>ZZWIGP2823_93F_gra_1</t>
  </si>
  <si>
    <t>WIGP2823_93F_gra_2</t>
  </si>
  <si>
    <t>ZZWIGP2823_93F_gra_2</t>
  </si>
  <si>
    <t>WIGP2830_942_tea_1</t>
  </si>
  <si>
    <t>ZZWIGP2830_942_tea_1</t>
  </si>
  <si>
    <t>P2830</t>
  </si>
  <si>
    <t>WIGP2830_942_tea_2</t>
  </si>
  <si>
    <t>ZZWIGP2830_942_tea_2</t>
  </si>
  <si>
    <t>WIGP2830_943_twi_1</t>
  </si>
  <si>
    <t>ZZWIGP2830_943_twi_1</t>
  </si>
  <si>
    <t>Twilight Blue</t>
  </si>
  <si>
    <t>WIGP2831_35E_gra_2</t>
  </si>
  <si>
    <t>ZZWIGP2831_35E_gra_2</t>
  </si>
  <si>
    <t>P2831</t>
  </si>
  <si>
    <t>WIGP2831_79D_car_1</t>
  </si>
  <si>
    <t>ZZWIGP2831_79D_car_1</t>
  </si>
  <si>
    <t>WIGP2831_809_ony_1</t>
  </si>
  <si>
    <t>ZZWIGP2831_809_ony_1</t>
  </si>
  <si>
    <t>WIGP2831_809_ony_2</t>
  </si>
  <si>
    <t>ZZWIGP2831_809_ony_2</t>
  </si>
  <si>
    <t>WIGP8766_198_bla_1</t>
  </si>
  <si>
    <t>ZZWIGP8766_198_bla_1</t>
  </si>
  <si>
    <t>P8766</t>
  </si>
  <si>
    <t>WIGP8766_198_bla_2</t>
  </si>
  <si>
    <t>ZZWIGP8766_198_bla_2</t>
  </si>
  <si>
    <t>WIGP8766_198_bla_3</t>
  </si>
  <si>
    <t>ZZWIGP8766_198_bla_3</t>
  </si>
  <si>
    <t>WIGP8766_931_gre_1</t>
  </si>
  <si>
    <t>ZZWIGP8766_931_gre_1</t>
  </si>
  <si>
    <t>WIGP8766_931_gre_2</t>
  </si>
  <si>
    <t>ZZWIGP8766_931_gre_2</t>
  </si>
  <si>
    <t>WIGP8766_931_gre_3</t>
  </si>
  <si>
    <t>ZZWIGP8766_931_gre_3</t>
  </si>
  <si>
    <t>WIGP8768_051_whi_1</t>
  </si>
  <si>
    <t>ZZWIGP8768_051_whi_1</t>
  </si>
  <si>
    <t>P8768</t>
  </si>
  <si>
    <t>WIGP8768_051_whi_2</t>
  </si>
  <si>
    <t>ZZWIGP8768_051_whi_2</t>
  </si>
  <si>
    <t>WIGP8768_051_whi_3</t>
  </si>
  <si>
    <t>ZZWIGP8768_051_whi_3</t>
  </si>
  <si>
    <t>WIGP8771_051_whi_1</t>
  </si>
  <si>
    <t>ZZWIGP8771_051_whi_1</t>
  </si>
  <si>
    <t>P8771</t>
  </si>
  <si>
    <t>WIGP8771_051_whi_2</t>
  </si>
  <si>
    <t>ZZWIGP8771_051_whi_2</t>
  </si>
  <si>
    <t>WIGP8771_072_gre_1</t>
  </si>
  <si>
    <t>ZZWIGP8771_072_gre_1</t>
  </si>
  <si>
    <t>WIGP8771_072_gre_2</t>
  </si>
  <si>
    <t>ZZWIGP8771_072_gre_2</t>
  </si>
  <si>
    <t>WIGP8772_051_whi_1</t>
  </si>
  <si>
    <t>ZZWIGP8772_051_whi_1</t>
  </si>
  <si>
    <t>P8772</t>
  </si>
  <si>
    <t>WIGP8772_051_whi_2</t>
  </si>
  <si>
    <t>ZZWIGP8772_051_whi_2</t>
  </si>
  <si>
    <t>WIGP8772_072_gre_1</t>
  </si>
  <si>
    <t>ZZWIGP8772_072_gre_1</t>
  </si>
  <si>
    <t>WIGP8772_072_gre_2</t>
  </si>
  <si>
    <t>ZZWIGP8772_072_gre_2</t>
  </si>
  <si>
    <t>WIGP8773_051_whi_1</t>
  </si>
  <si>
    <t>ZZWIGP8773_051_whi_1</t>
  </si>
  <si>
    <t>P8773</t>
  </si>
  <si>
    <t>WIGP8773_051_whi_2</t>
  </si>
  <si>
    <t>ZZWIGP8773_051_whi_2</t>
  </si>
  <si>
    <t>WIGP8773_051_whi_3</t>
  </si>
  <si>
    <t>ZZWIGP8773_051_whi_3</t>
  </si>
  <si>
    <t>WIGP8773_052_bla_1</t>
  </si>
  <si>
    <t>ZZWIGP8773_052_bla_1</t>
  </si>
  <si>
    <t>WIGP8773_052_bla_2</t>
  </si>
  <si>
    <t>ZZWIGP8773_052_bla_2</t>
  </si>
  <si>
    <t>WIGP8773_052_bla_3</t>
  </si>
  <si>
    <t>ZZWIGP8773_052_bla_3</t>
  </si>
  <si>
    <t>WIGP8774_051_whi_1</t>
  </si>
  <si>
    <t>ZZWIGP8774_051_whi_1</t>
  </si>
  <si>
    <t>P8774</t>
  </si>
  <si>
    <t>WIGP8774_051_whi_2</t>
  </si>
  <si>
    <t>ZZWIGP8774_051_whi_2</t>
  </si>
  <si>
    <t>WIGP8774_051_whi_3</t>
  </si>
  <si>
    <t>ZZWIGP8774_051_whi_3</t>
  </si>
  <si>
    <t>WIGP8774_052_bla_1</t>
  </si>
  <si>
    <t>ZZWIGP8774_052_bla_1</t>
  </si>
  <si>
    <t>WIGP8774_052_bla_2</t>
  </si>
  <si>
    <t>ZZWIGP8774_052_bla_2</t>
  </si>
  <si>
    <t>WIGP8774_052_bla_3</t>
  </si>
  <si>
    <t>ZZWIGP8774_052_bla_3</t>
  </si>
  <si>
    <t>WIGS1004_51_whi_0</t>
  </si>
  <si>
    <t>ZZWIGS1004_51_whi_0</t>
  </si>
  <si>
    <t>S1004</t>
  </si>
  <si>
    <t>WIGS1042_051_wht_1</t>
  </si>
  <si>
    <t>ZZWIGS1042_051_wht_1</t>
  </si>
  <si>
    <t>S1042</t>
  </si>
  <si>
    <t>WIGS1042_051_wht_2</t>
  </si>
  <si>
    <t>ZZWIGS1042_051_wht_2</t>
  </si>
  <si>
    <t>WIGS1042_051_wht_3</t>
  </si>
  <si>
    <t>ZZWIGS1042_051_wht_3</t>
  </si>
  <si>
    <t>WIGS1042_052_blk_1</t>
  </si>
  <si>
    <t>ZZWIGS1042_052_blk_1</t>
  </si>
  <si>
    <t>WIGS1042_052_blk_2</t>
  </si>
  <si>
    <t>ZZWIGS1042_052_blk_2</t>
  </si>
  <si>
    <t>WIGS1052_051_whi_1</t>
  </si>
  <si>
    <t>ZZWIGS1052_051_whi_1</t>
  </si>
  <si>
    <t>S1052</t>
  </si>
  <si>
    <t>WIGS1052_051_whi_2</t>
  </si>
  <si>
    <t>ZZWIGS1052_051_whi_2</t>
  </si>
  <si>
    <t>WIGS1052_051_whi_3</t>
  </si>
  <si>
    <t>ZZWIGS1052_051_whi_3</t>
  </si>
  <si>
    <t>WIGS1077_51_whi_1</t>
  </si>
  <si>
    <t>ZZWIGS1077_51_whi_1</t>
  </si>
  <si>
    <t>S1077</t>
  </si>
  <si>
    <t>WIGS1077_51_whi_2</t>
  </si>
  <si>
    <t>ZZWIGS1077_51_whi_2</t>
  </si>
  <si>
    <t>WIGS1077_51_whi_3</t>
  </si>
  <si>
    <t>ZZWIGS1077_51_whi_3</t>
  </si>
  <si>
    <t>WIGS1077_52_bla_1</t>
  </si>
  <si>
    <t>ZZWIGS1077_52_bla_1</t>
  </si>
  <si>
    <t>WIGS1077_52_bla_2</t>
  </si>
  <si>
    <t>ZZWIGS1077_52_bla_2</t>
  </si>
  <si>
    <t>WIGS1168_051_wht_0</t>
  </si>
  <si>
    <t>ZZWIGS1168_051_wht_0</t>
  </si>
  <si>
    <t>S1168</t>
  </si>
  <si>
    <t>WIGS1168_051_wht_1</t>
  </si>
  <si>
    <t>ZZWIGS1168_051_wht_1</t>
  </si>
  <si>
    <t>WIGS1168_051_wht_2</t>
  </si>
  <si>
    <t>WIGS1168_072_gry_2</t>
  </si>
  <si>
    <t>ZZWIGS1168_072_gry_2</t>
  </si>
  <si>
    <t>WIGS1168_52_bla_1</t>
  </si>
  <si>
    <t>ZZWIGS1168_52_bla_1</t>
  </si>
  <si>
    <t>Wigwam Super 60 Crew 3-Pack Socks</t>
  </si>
  <si>
    <t>WIGS1168_52_bla_2</t>
  </si>
  <si>
    <t>ZZWIGS1168_52_bla_2</t>
  </si>
  <si>
    <t>WIGS1200_057_cha_2</t>
  </si>
  <si>
    <t>ZZWIGS1200_057_cha_2</t>
  </si>
  <si>
    <t>S1200</t>
  </si>
  <si>
    <t>WIGS1221_052_blk_0</t>
  </si>
  <si>
    <t>ZZWIGS1221_052_blk_0</t>
  </si>
  <si>
    <t>S1221</t>
  </si>
  <si>
    <t>WIGS1221_052_blk_1</t>
  </si>
  <si>
    <t>ZZWIGS1221_052_blk_1</t>
  </si>
  <si>
    <t>WIGS1221_052_blk_2</t>
  </si>
  <si>
    <t>ZZWIGS1221_052_blk_2</t>
  </si>
  <si>
    <t>WIGS1221_072_gry_0</t>
  </si>
  <si>
    <t>ZZWIGS1221_072_gry_0</t>
  </si>
  <si>
    <t>WIGS1221_072_gry_1</t>
  </si>
  <si>
    <t>ZZWIGS1221_072_gry_1</t>
  </si>
  <si>
    <t>WIGS1221_072_gry_2</t>
  </si>
  <si>
    <t>ZZWIGS1221_072_gry_2</t>
  </si>
  <si>
    <t>WIGS1221_44H_wht_0</t>
  </si>
  <si>
    <t>ZZWIGS1221_44H_wht_0</t>
  </si>
  <si>
    <t>White/Sweatshirt Gray</t>
  </si>
  <si>
    <t>WIGS1221_44H_wht_1</t>
  </si>
  <si>
    <t>ZZWIGS1221_44H_wht_1</t>
  </si>
  <si>
    <t>WIGS1221_44H_wht_2</t>
  </si>
  <si>
    <t>ZZWIGS1221_44H_wht_2</t>
  </si>
  <si>
    <t>WIGS1223_051_wht_0</t>
  </si>
  <si>
    <t>ZZWIGS1223_051_wht_0</t>
  </si>
  <si>
    <t>S1223</t>
  </si>
  <si>
    <t>WIGS1223_051_wht_1</t>
  </si>
  <si>
    <t>ZZWIGS1223_051_wht_1</t>
  </si>
  <si>
    <t>WIGS1223_051_wht_2</t>
  </si>
  <si>
    <t>ZZWIGS1223_051_wht_2</t>
  </si>
  <si>
    <t>WIGS1349_902_wht_0</t>
  </si>
  <si>
    <t>ZZWIGS1349_902_wht_0</t>
  </si>
  <si>
    <t>S1349</t>
  </si>
  <si>
    <t>WIGS1349_902_wht_1</t>
  </si>
  <si>
    <t>ZZWIGS1349_902_wht_1</t>
  </si>
  <si>
    <t>WIGS1349_902_wht_2</t>
  </si>
  <si>
    <t>ZZWIGS1349_902_wht_2</t>
  </si>
  <si>
    <t>WIGS1350_072_gry_1</t>
  </si>
  <si>
    <t>ZZWIGS1350_072_gry_1</t>
  </si>
  <si>
    <t>S1350</t>
  </si>
  <si>
    <t>WIGS1350_072_gry_2</t>
  </si>
  <si>
    <t>ZZWIGS1350_072_gry_2</t>
  </si>
  <si>
    <t>WIGS1350_072_gry_3</t>
  </si>
  <si>
    <t>ZZWIGS1350_072_gry_3</t>
  </si>
  <si>
    <t>WIGS1360_052_blk_1</t>
  </si>
  <si>
    <t>ZZWIGS1360_052_blk_1</t>
  </si>
  <si>
    <t>S1360</t>
  </si>
  <si>
    <t>WIGS1360_052_blk_2</t>
  </si>
  <si>
    <t>ZZWIGS1360_052_blk_2</t>
  </si>
  <si>
    <t>WIGS1360_052_blk_3</t>
  </si>
  <si>
    <t>ZZWIGS1360_052_blk_3</t>
  </si>
  <si>
    <t>WIGS1360_072_gry_1</t>
  </si>
  <si>
    <t>ZZWIGS1360_072_gry_1</t>
  </si>
  <si>
    <t>WIGS1360_072_gry_2</t>
  </si>
  <si>
    <t>ZZWIGS1360_072_gry_2</t>
  </si>
  <si>
    <t>WIGS1360_44H_wht_1</t>
  </si>
  <si>
    <t>ZZWIGS1360_44H_wht_1</t>
  </si>
  <si>
    <t>WIGS1360_44H_wht_2</t>
  </si>
  <si>
    <t>ZZWIGS1360_44H_wht_2</t>
  </si>
  <si>
    <t>WIGS1360_44H_wht_3</t>
  </si>
  <si>
    <t>ZZWIGS1360_44H_wht_3</t>
  </si>
  <si>
    <t>WIGS2322_122_tau_1</t>
  </si>
  <si>
    <t>ZZWIGS2322_122_tau_1</t>
  </si>
  <si>
    <t>S2322</t>
  </si>
  <si>
    <t>Taupe</t>
  </si>
  <si>
    <t>WIGS2322_586_nav_1</t>
  </si>
  <si>
    <t>ZZWIGS2322_586_nav_1</t>
  </si>
  <si>
    <t>Nav</t>
  </si>
  <si>
    <t>WIGS2322_76H_cha_1</t>
  </si>
  <si>
    <t>ZZWIGS2322_76H_cha_1</t>
  </si>
  <si>
    <t>WIGS9012_051_whi_0</t>
  </si>
  <si>
    <t>ZZWIGS9012_051_whi_0</t>
  </si>
  <si>
    <t>S9012</t>
  </si>
  <si>
    <t>WIGS9014_51_whi_1</t>
  </si>
  <si>
    <t>ZZWIGS9014_51_whi_1</t>
  </si>
  <si>
    <t>S9014</t>
  </si>
  <si>
    <t>WIGS9014_51_whi_2</t>
  </si>
  <si>
    <t>ZZWIGS9014_51_whi_2</t>
  </si>
  <si>
    <t>WIGS9014_51_whi_3</t>
  </si>
  <si>
    <t>ZZWIGS9014_51_whi_3</t>
  </si>
  <si>
    <t>WIGS9015_051_wht_1</t>
  </si>
  <si>
    <t>ZZWIGS9015_051_wht_1</t>
  </si>
  <si>
    <t>S9015</t>
  </si>
  <si>
    <t>WIGS9015_051_wht_2</t>
  </si>
  <si>
    <t>ZZWIGS9015_051_wht_2</t>
  </si>
  <si>
    <t>WIGS9020_51_whi_1</t>
  </si>
  <si>
    <t>ZZWIGS9020_51_whi_1</t>
  </si>
  <si>
    <t>S9020</t>
  </si>
  <si>
    <t>WIGS9020_51_whi_2</t>
  </si>
  <si>
    <t>ZZWIGS9020_51_whi_2</t>
  </si>
  <si>
    <t>WIGS9020_51_whi_3</t>
  </si>
  <si>
    <t>ZZWIGS9020_51_whi_3</t>
  </si>
  <si>
    <t>TOTALS</t>
  </si>
  <si>
    <t>B000G7W9CO</t>
  </si>
  <si>
    <t>B07FBJ3K17</t>
  </si>
  <si>
    <t>B07MFWFSC6</t>
  </si>
  <si>
    <t>B07FMFJP39</t>
  </si>
  <si>
    <t>B087D6HZFB</t>
  </si>
  <si>
    <t>B087D69L4H</t>
  </si>
  <si>
    <t>B09F9B5NRS</t>
  </si>
  <si>
    <t>B09F9D9TJ5</t>
  </si>
  <si>
    <t>B0BP246S9Z</t>
  </si>
  <si>
    <t>B0BP21C43L</t>
  </si>
  <si>
    <t>B09F9C4D58</t>
  </si>
  <si>
    <t>B0BP239JCP</t>
  </si>
  <si>
    <t>B09MBVPZBH</t>
  </si>
  <si>
    <t>B09N2DZSZ8</t>
  </si>
  <si>
    <t>B09MBT3FX4</t>
  </si>
  <si>
    <t>B007WPNNN2</t>
  </si>
  <si>
    <t>FBA List Price</t>
  </si>
  <si>
    <t>Lowest Price on AMZ Difference</t>
  </si>
  <si>
    <t>Sessions</t>
  </si>
  <si>
    <t>WIGF2522_072_gry_1</t>
  </si>
  <si>
    <t>WIGF2522_072_gry_2</t>
  </si>
  <si>
    <t>WIGF2522_072_gry_3</t>
  </si>
  <si>
    <t>WIGF2522_01A_ppl_1</t>
  </si>
  <si>
    <t>WIGF2522_01A_ppl_2</t>
  </si>
  <si>
    <t>WIGF2522_586_nvy_1</t>
  </si>
  <si>
    <t>WIGF2522_586_nvy_2</t>
  </si>
  <si>
    <t>WIGF2530_109_brn_1</t>
  </si>
  <si>
    <t>WIGF2530_109_brn_2</t>
  </si>
  <si>
    <t>WIGF2530_109_brn_3</t>
  </si>
  <si>
    <t>WIGF2530_294_red_1</t>
  </si>
  <si>
    <t>WIGF2530_294_red_2</t>
  </si>
  <si>
    <t>WIGF2530_294_red_3</t>
  </si>
  <si>
    <t>WIGF2523_263_orn_1</t>
  </si>
  <si>
    <t>WIGF2523_263_orn_2</t>
  </si>
  <si>
    <t>WIGF2523_263_orn_3</t>
  </si>
  <si>
    <t>WIGF8034_052_blk_1</t>
  </si>
  <si>
    <t>WIGF8034_052_blk_2</t>
  </si>
  <si>
    <t>WIGF8034_052_blk_3</t>
  </si>
  <si>
    <t>WIGF2044_289_red_1</t>
  </si>
  <si>
    <t>WIGF2044_289_red_2</t>
  </si>
  <si>
    <t>WIGF2703_052_blk_1</t>
  </si>
  <si>
    <t>WIGF2703_052_blk_2</t>
  </si>
  <si>
    <t>WIGF2703_052_blk_3</t>
  </si>
  <si>
    <t>WIGF1453_072_gry_1</t>
  </si>
  <si>
    <t>WIGF1453_072_gry_2</t>
  </si>
  <si>
    <t>WIGF1453_072_gry_3</t>
  </si>
  <si>
    <t>WIGF1446_586_nvy_0</t>
  </si>
  <si>
    <t>WIGF1446_586_nvy_1</t>
  </si>
  <si>
    <t>WIGF1446_586_nvy_2</t>
  </si>
  <si>
    <t>WIGF1446_586_nvy_3</t>
  </si>
  <si>
    <t>WIGF2485_072_gry_0</t>
  </si>
  <si>
    <t>WIGF2485_072_gry_1</t>
  </si>
  <si>
    <t>WIGF2485_072_gry_2</t>
  </si>
  <si>
    <t>WIGF2485_072_gry_3</t>
  </si>
  <si>
    <t>WIGF1091_115_nat_1</t>
  </si>
  <si>
    <t>WIGF1091_115_nat_2</t>
  </si>
  <si>
    <t>WIGF1091_052_blk_2</t>
  </si>
  <si>
    <t>WIGF5340_86D_oxf_1</t>
  </si>
  <si>
    <t>WIGF5340_072_gry_1</t>
  </si>
  <si>
    <t>WIGF5340_489_blu_1</t>
  </si>
  <si>
    <t>WIGF5347_274_pin_1</t>
  </si>
  <si>
    <t>WIGF5347_274_pin_2</t>
  </si>
  <si>
    <t>WIGF5347_86D_oxf_1</t>
  </si>
  <si>
    <t>WIGF5347_86D_oxf_2</t>
  </si>
  <si>
    <t>WIGF5347_309_bur_1</t>
  </si>
  <si>
    <t>WIGF5347_309_bur_2</t>
  </si>
  <si>
    <t>WIGS8010_308_grn_1</t>
  </si>
  <si>
    <t>WIGS8010_308_grn_2</t>
  </si>
  <si>
    <t>WIGS8010_308_grn_3</t>
  </si>
  <si>
    <t>WIGF2230_050_gtw_0</t>
  </si>
  <si>
    <t>WIGF6029_052_blk_2</t>
  </si>
  <si>
    <t xml:space="preserve">Sweatshirt Grey </t>
  </si>
  <si>
    <t>Pink/Purple</t>
  </si>
  <si>
    <t>Orange</t>
  </si>
  <si>
    <t>Red Heather</t>
  </si>
  <si>
    <t>Notting Blue</t>
  </si>
  <si>
    <t>Pink</t>
  </si>
  <si>
    <t>Burgundy</t>
  </si>
  <si>
    <t>Foliage</t>
  </si>
  <si>
    <t>ZZWIGF2522_072_gry_1</t>
  </si>
  <si>
    <t>ZZWIGF2522_072_gry_2</t>
  </si>
  <si>
    <t>ZZWIGF2522_072_gry_3</t>
  </si>
  <si>
    <t>ZZWIGF2522_01A_ppl_1</t>
  </si>
  <si>
    <t>ZZWIGF2522_01A_ppl_2</t>
  </si>
  <si>
    <t>ZZWIGF2522_586_nvy_1</t>
  </si>
  <si>
    <t>ZZWIGF2522_586_nvy_2</t>
  </si>
  <si>
    <t>ZZWIGF2530_109_brn_1</t>
  </si>
  <si>
    <t>ZZWIGF2530_109_brn_2</t>
  </si>
  <si>
    <t>ZZWIGF2530_109_brn_3</t>
  </si>
  <si>
    <t>ZZWIGF2530_294_red_1</t>
  </si>
  <si>
    <t>ZZWIGF2530_294_red_2</t>
  </si>
  <si>
    <t>ZZWIGF2530_294_red_3</t>
  </si>
  <si>
    <t>ZZWIGF2523_263_orn_1</t>
  </si>
  <si>
    <t>ZZWIGF2523_263_orn_2</t>
  </si>
  <si>
    <t>ZZWIGF2523_263_orn_3</t>
  </si>
  <si>
    <t>ZZWIGF8034_052_blk_1</t>
  </si>
  <si>
    <t>ZZWIGF8034_052_blk_2</t>
  </si>
  <si>
    <t>ZZWIGF8034_052_blk_3</t>
  </si>
  <si>
    <t>ZZWIGF2044_289_red_1</t>
  </si>
  <si>
    <t>ZZWIGF2044_289_red_2</t>
  </si>
  <si>
    <t>ZZWIGF2703_052_blk_1</t>
  </si>
  <si>
    <t>ZZWIGF2703_052_blk_2</t>
  </si>
  <si>
    <t>ZZWIGF2703_052_blk_3</t>
  </si>
  <si>
    <t>ZZWIGF1453_072_gry_1</t>
  </si>
  <si>
    <t>ZZWIGF1453_072_gry_2</t>
  </si>
  <si>
    <t>ZZWIGF1453_072_gry_3</t>
  </si>
  <si>
    <t>ZZWIGF1446_586_nvy_0</t>
  </si>
  <si>
    <t>ZZWIGF1446_586_nvy_1</t>
  </si>
  <si>
    <t>ZZWIGF1446_586_nvy_2</t>
  </si>
  <si>
    <t>ZZWIGF1446_586_nvy_3</t>
  </si>
  <si>
    <t>ZZWIGF2485_072_gry_0</t>
  </si>
  <si>
    <t>ZZWIGF2485_072_gry_1</t>
  </si>
  <si>
    <t>ZZWIGF2485_072_gry_2</t>
  </si>
  <si>
    <t>ZZWIGF2485_072_gry_3</t>
  </si>
  <si>
    <t>ZZWIGF1091_115_nat_1</t>
  </si>
  <si>
    <t>ZZWIGF1091_115_nat_2</t>
  </si>
  <si>
    <t>ZZWIGF1091_052_blk_2</t>
  </si>
  <si>
    <t>ZZWIGF5340_86D_oxf_1</t>
  </si>
  <si>
    <t>ZZWIGF5340_072_gry_1</t>
  </si>
  <si>
    <t>ZZWIGF5340_489_blu_1</t>
  </si>
  <si>
    <t>ZZWIGF5347_274_pin_1</t>
  </si>
  <si>
    <t>ZZWIGF5347_274_pin_2</t>
  </si>
  <si>
    <t>ZZWIGF5347_86D_oxf_1</t>
  </si>
  <si>
    <t>ZZWIGF5347_86D_oxf_2</t>
  </si>
  <si>
    <t>ZZWIGF5347_309_bur_1</t>
  </si>
  <si>
    <t>ZZWIGF5347_309_bur_2</t>
  </si>
  <si>
    <t>ZZWIGS8010_308_grn_1</t>
  </si>
  <si>
    <t>ZZWIGS8010_308_grn_2</t>
  </si>
  <si>
    <t>ZZWIGS8010_308_grn_3</t>
  </si>
  <si>
    <t>ZZWIGF2230_050_gtw_0</t>
  </si>
  <si>
    <t>ZZWIGF6029_052_blk_2</t>
  </si>
  <si>
    <t>GoBros COG (Includes Earned 10% Discount)</t>
  </si>
  <si>
    <t>GoBros List Price</t>
  </si>
  <si>
    <t>Featured Offer (Buy Box) Percentage</t>
  </si>
  <si>
    <t>F1091</t>
  </si>
  <si>
    <t>F1446</t>
  </si>
  <si>
    <t>F1453</t>
  </si>
  <si>
    <t>F2485</t>
  </si>
  <si>
    <t xml:space="preserve">F2522 </t>
  </si>
  <si>
    <t xml:space="preserve">F2523 </t>
  </si>
  <si>
    <t>F2530</t>
  </si>
  <si>
    <t>F2703</t>
  </si>
  <si>
    <t>F5340</t>
  </si>
  <si>
    <t>F5347</t>
  </si>
  <si>
    <t>F8034</t>
  </si>
  <si>
    <t>S8010</t>
  </si>
  <si>
    <t>ZZWIGF2432_125_lod_3</t>
  </si>
  <si>
    <t>WIGF2432_125_lod_3</t>
  </si>
  <si>
    <t>TOTAL BY UNITS (FBM and FBA)</t>
  </si>
  <si>
    <t>% change</t>
  </si>
  <si>
    <t>Wigwam King Cotton Quarter Socks</t>
  </si>
  <si>
    <t>Wigwam El-Pine Crew Heavyweight Wool Socks</t>
  </si>
  <si>
    <t>Wigwam Merino Comfort Hiker Midweight Crew Socks</t>
  </si>
  <si>
    <t>Wigwam Merino Silk Hiker Heavyweight Crew Socks</t>
  </si>
  <si>
    <t>Wigwam Merino Woodland Boot Socks</t>
  </si>
  <si>
    <t>Wigwam Thunder Quarter Lightweight Socks</t>
  </si>
  <si>
    <t>Wigwam Thunder Low Lightweight Socks</t>
  </si>
  <si>
    <t>Wigwam Cool-Lite Hiker Quarter Midweight Socks</t>
  </si>
  <si>
    <t>Wigwam Cool-Lite Hiker Crew Midweight Socks</t>
  </si>
  <si>
    <t>Wigwam Ultra Cool-Lite Quarter Socks</t>
  </si>
  <si>
    <t>Wigwam Super 60 Quarter 3-Pack Socks</t>
  </si>
  <si>
    <t>(Parent) ASIN</t>
  </si>
  <si>
    <t>(Child) ASIN</t>
  </si>
  <si>
    <t>Title</t>
  </si>
  <si>
    <t>SKU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</si>
  <si>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</si>
  <si>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</si>
  <si>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</si>
  <si>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</si>
  <si>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</si>
  <si>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</si>
  <si>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</si>
  <si>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</si>
  <si>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(Buy Box) Percentage - B2B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</si>
  <si>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</si>
  <si>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</si>
  <si>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</si>
  <si>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</si>
  <si>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</si>
  <si>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</si>
  <si>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</si>
  <si>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</si>
  <si>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B000TF9LZG</t>
  </si>
  <si>
    <t>B000V6IA1O</t>
  </si>
  <si>
    <t>B0CG7VXGBP</t>
  </si>
  <si>
    <t>B00NF6XTG8</t>
  </si>
  <si>
    <t>B000VQHX58</t>
  </si>
  <si>
    <t>Wigwam Unisex Diabetic Sport Quarter Black Socks LG (Men's Shoe 9-12, Women's Shoe 10-13)</t>
  </si>
  <si>
    <t>B000VQFYJA</t>
  </si>
  <si>
    <t>B0CQHWHLZD</t>
  </si>
  <si>
    <t>B001A46RP2</t>
  </si>
  <si>
    <t>Wigwam Unisex El-Pine Warm Wool Heavyweight Socks, Grey Twist, LG</t>
  </si>
  <si>
    <t>B000V196NU</t>
  </si>
  <si>
    <t>B000V5G6CU</t>
  </si>
  <si>
    <t>B08779RYZ4</t>
  </si>
  <si>
    <t>B000J4CODS</t>
  </si>
  <si>
    <t>B002T41MT8</t>
  </si>
  <si>
    <t>Wigwam 40 Below Thermal Boot Socks, Black - Large</t>
  </si>
  <si>
    <t>B07MSHYL5M</t>
  </si>
  <si>
    <t>B0835LG4PM</t>
  </si>
  <si>
    <t>B07FBNXBQM</t>
  </si>
  <si>
    <t>B001A47BDY</t>
  </si>
  <si>
    <t>B002ACB3MK</t>
  </si>
  <si>
    <t>B001A40CT4</t>
  </si>
  <si>
    <t>B000TFFPGK</t>
  </si>
  <si>
    <t>B07HPBKF1R</t>
  </si>
  <si>
    <t>B07MS9FFNF</t>
  </si>
  <si>
    <t>B087D5PKTD</t>
  </si>
  <si>
    <t>B0BP22KQ2P</t>
  </si>
  <si>
    <t>B087D58XGX</t>
  </si>
  <si>
    <t>B087D5NFZB</t>
  </si>
  <si>
    <t>B087D62HSY</t>
  </si>
  <si>
    <t>B087D4M7QP</t>
  </si>
  <si>
    <t>B087D6KCXG</t>
  </si>
  <si>
    <t>B087D6BJ87</t>
  </si>
  <si>
    <t>Wigwam CoolMax Liner 3 Pack P2805 Sock, White - Medium</t>
  </si>
  <si>
    <t>B087D5FCST</t>
  </si>
  <si>
    <t>B087D5JHJY</t>
  </si>
  <si>
    <t>Wigwam CoolMax Liner 3 Pack P2805 Sock, White - X-Large</t>
  </si>
  <si>
    <t>B0BP22FC8X</t>
  </si>
  <si>
    <t>B0BP22LWMG</t>
  </si>
  <si>
    <t>B09G6WG933</t>
  </si>
  <si>
    <t>B09F9C44NG</t>
  </si>
  <si>
    <t>B09F99FQW8</t>
  </si>
  <si>
    <t>B09F9BH4C6</t>
  </si>
  <si>
    <t>B09F9B2XFW</t>
  </si>
  <si>
    <t>B09F9B7VYF</t>
  </si>
  <si>
    <t>B09N2DSMDL</t>
  </si>
  <si>
    <t>B007WPNNKK</t>
  </si>
  <si>
    <t>B000TA8LJ8</t>
  </si>
  <si>
    <t>B01FB6HRTO</t>
  </si>
  <si>
    <t>B000VGYVMG</t>
  </si>
  <si>
    <t>B001N1A29Y</t>
  </si>
  <si>
    <t>B008PJBMVO</t>
  </si>
  <si>
    <t>B0CL7S1PQQ</t>
  </si>
  <si>
    <t>B000ARB1SS</t>
  </si>
  <si>
    <t>B002AMUDCG</t>
  </si>
  <si>
    <t>B000ARG1KG</t>
  </si>
  <si>
    <t>Wigwam 625 Light Weight Wool Athletic Socks, White, X-Large</t>
  </si>
  <si>
    <t>B07FBJC2ZF</t>
  </si>
  <si>
    <t>B07HWVWQS7</t>
  </si>
  <si>
    <t>B00ZW9AJ5K</t>
  </si>
  <si>
    <t>B004QJMZ90</t>
  </si>
  <si>
    <t>Wigwam Thermax Cap II, Foliage Green, One Size</t>
  </si>
  <si>
    <t>B003KPY2C4</t>
  </si>
  <si>
    <t>B0BP24JB6J</t>
  </si>
  <si>
    <t>B09MFWXX13</t>
  </si>
  <si>
    <t>B000ARISRK</t>
  </si>
  <si>
    <t>B007WPNNDM</t>
  </si>
  <si>
    <t>B000TFBI1Q</t>
  </si>
  <si>
    <t>B07M7LDSQX</t>
  </si>
  <si>
    <t>WIGF1071_051_wht_1</t>
  </si>
  <si>
    <t>WIGF1071_052_blk_0</t>
  </si>
  <si>
    <t>TOTAL at FBA</t>
  </si>
  <si>
    <t>048323011686</t>
  </si>
  <si>
    <t>048323013185</t>
  </si>
  <si>
    <t>048323013178</t>
  </si>
  <si>
    <t>048323013192</t>
  </si>
  <si>
    <t>048323013208</t>
  </si>
  <si>
    <t>048323434096</t>
  </si>
  <si>
    <t>048323434102</t>
  </si>
  <si>
    <t>048323434119</t>
  </si>
  <si>
    <t>048323013437</t>
  </si>
  <si>
    <t>048323013420</t>
  </si>
  <si>
    <t>048323013444</t>
  </si>
  <si>
    <t>048323485180</t>
  </si>
  <si>
    <t>048323485197</t>
  </si>
  <si>
    <t>048323485203</t>
  </si>
  <si>
    <t>048323067799</t>
  </si>
  <si>
    <t>048323067843</t>
  </si>
  <si>
    <t>048323083089</t>
  </si>
  <si>
    <t>048323013680</t>
  </si>
  <si>
    <t>048323013673</t>
  </si>
  <si>
    <t>048323013697</t>
  </si>
  <si>
    <t>048323013796</t>
  </si>
  <si>
    <t>048323013802</t>
  </si>
  <si>
    <t>048323013819</t>
  </si>
  <si>
    <t>048323013826</t>
  </si>
  <si>
    <t>048323013833</t>
  </si>
  <si>
    <t>048323573894</t>
  </si>
  <si>
    <t>048323573900</t>
  </si>
  <si>
    <t>048323573917</t>
  </si>
  <si>
    <t>048323573924</t>
  </si>
  <si>
    <t>048323014090</t>
  </si>
  <si>
    <t>048323014083</t>
  </si>
  <si>
    <t>048323014106</t>
  </si>
  <si>
    <t>048323014120</t>
  </si>
  <si>
    <t>048323014113</t>
  </si>
  <si>
    <t>048323014328</t>
  </si>
  <si>
    <t>048323014311</t>
  </si>
  <si>
    <t>048323014335</t>
  </si>
  <si>
    <t>048323015820</t>
  </si>
  <si>
    <t>048323015813</t>
  </si>
  <si>
    <t>048323015837</t>
  </si>
  <si>
    <t>048323666091</t>
  </si>
  <si>
    <t>048323666077</t>
  </si>
  <si>
    <t>048323666084</t>
  </si>
  <si>
    <t>048323187701</t>
  </si>
  <si>
    <t>048323187718</t>
  </si>
  <si>
    <t>048323187725</t>
  </si>
  <si>
    <t>048323179584</t>
  </si>
  <si>
    <t>048323179591</t>
  </si>
  <si>
    <t>048323179607</t>
  </si>
  <si>
    <t>048323016940</t>
  </si>
  <si>
    <t>048323016933</t>
  </si>
  <si>
    <t>048323016957</t>
  </si>
  <si>
    <t>048323335720</t>
  </si>
  <si>
    <t>048323335737</t>
  </si>
  <si>
    <t>048323335744</t>
  </si>
  <si>
    <t>048323335751</t>
  </si>
  <si>
    <t>048323335768</t>
  </si>
  <si>
    <t>048323335775</t>
  </si>
  <si>
    <t>048323392068</t>
  </si>
  <si>
    <t>048323644884</t>
  </si>
  <si>
    <t>048323426015</t>
  </si>
  <si>
    <t>048323426022</t>
  </si>
  <si>
    <t>048323426039</t>
  </si>
  <si>
    <t>048323660877</t>
  </si>
  <si>
    <t>048323426053</t>
  </si>
  <si>
    <t>048323426060</t>
  </si>
  <si>
    <t>048323426077</t>
  </si>
  <si>
    <t>048323426367</t>
  </si>
  <si>
    <t>048323426374</t>
  </si>
  <si>
    <t>048323426381</t>
  </si>
  <si>
    <t>048323660891</t>
  </si>
  <si>
    <t>048323426404</t>
  </si>
  <si>
    <t>048323426411</t>
  </si>
  <si>
    <t>048323426428</t>
  </si>
  <si>
    <t>048323666183</t>
  </si>
  <si>
    <t>048323666190</t>
  </si>
  <si>
    <t>048323666206</t>
  </si>
  <si>
    <t>048323666213</t>
  </si>
  <si>
    <t>048323666930</t>
  </si>
  <si>
    <t>048323666947</t>
  </si>
  <si>
    <t>048323666954</t>
  </si>
  <si>
    <t>048323656634</t>
  </si>
  <si>
    <t>048323656665</t>
  </si>
  <si>
    <t>048323656689</t>
  </si>
  <si>
    <t>048323656696</t>
  </si>
  <si>
    <t>048323656726</t>
  </si>
  <si>
    <t>048323089081</t>
  </si>
  <si>
    <t>048323089098</t>
  </si>
  <si>
    <t>048323606370</t>
  </si>
  <si>
    <t>048323606387</t>
  </si>
  <si>
    <t>048323606394</t>
  </si>
  <si>
    <t>048323606424</t>
  </si>
  <si>
    <t>048323606431</t>
  </si>
  <si>
    <t>048323606448</t>
  </si>
  <si>
    <t>048323606578</t>
  </si>
  <si>
    <t>048323606677</t>
  </si>
  <si>
    <t>048323606684</t>
  </si>
  <si>
    <t>048323606691</t>
  </si>
  <si>
    <t>048323606721</t>
  </si>
  <si>
    <t>048323607162</t>
  </si>
  <si>
    <t>048323607179</t>
  </si>
  <si>
    <t>048323607186</t>
  </si>
  <si>
    <t>048323018326</t>
  </si>
  <si>
    <t>048323018319</t>
  </si>
  <si>
    <t>048323018333</t>
  </si>
  <si>
    <t>048323352130</t>
  </si>
  <si>
    <t>048323352147</t>
  </si>
  <si>
    <t>048323436946</t>
  </si>
  <si>
    <t>048323436991</t>
  </si>
  <si>
    <t>048323437004</t>
  </si>
  <si>
    <t>048323437011</t>
  </si>
  <si>
    <t>048323023283</t>
  </si>
  <si>
    <t>048323023276</t>
  </si>
  <si>
    <t>048323023306</t>
  </si>
  <si>
    <t>048323537933</t>
  </si>
  <si>
    <t>048323537940</t>
  </si>
  <si>
    <t>048323537957</t>
  </si>
  <si>
    <t>048323023320</t>
  </si>
  <si>
    <t>048323023313</t>
  </si>
  <si>
    <t>048323023344</t>
  </si>
  <si>
    <t>048323189101</t>
  </si>
  <si>
    <t>048323023566</t>
  </si>
  <si>
    <t>048323023559</t>
  </si>
  <si>
    <t>048323023573</t>
  </si>
  <si>
    <t>048323156547</t>
  </si>
  <si>
    <t>048323156554</t>
  </si>
  <si>
    <t>048323156561</t>
  </si>
  <si>
    <t>048323155076</t>
  </si>
  <si>
    <t>048323155083</t>
  </si>
  <si>
    <t>048323663441</t>
  </si>
  <si>
    <t>048323663458</t>
  </si>
  <si>
    <t>048323629683</t>
  </si>
  <si>
    <t>048323629690</t>
  </si>
  <si>
    <t>048323630160</t>
  </si>
  <si>
    <t>048323630177</t>
  </si>
  <si>
    <t>048323630184</t>
  </si>
  <si>
    <t>048323623797</t>
  </si>
  <si>
    <t>048323623803</t>
  </si>
  <si>
    <t>048323623810</t>
  </si>
  <si>
    <t>048323623858</t>
  </si>
  <si>
    <t>048323623971</t>
  </si>
  <si>
    <t>048323623988</t>
  </si>
  <si>
    <t>048323623995</t>
  </si>
  <si>
    <t>048323624039</t>
  </si>
  <si>
    <t>048323624046</t>
  </si>
  <si>
    <t>048323624053</t>
  </si>
  <si>
    <t>048323299770</t>
  </si>
  <si>
    <t>048323299763</t>
  </si>
  <si>
    <t>048323302791</t>
  </si>
  <si>
    <t>048323302814</t>
  </si>
  <si>
    <t>048323302807</t>
  </si>
  <si>
    <t>048323302838</t>
  </si>
  <si>
    <t>048323299862</t>
  </si>
  <si>
    <t>048323299855</t>
  </si>
  <si>
    <t>048323632195</t>
  </si>
  <si>
    <t>048323632201</t>
  </si>
  <si>
    <t>048323632225</t>
  </si>
  <si>
    <t>048323632232</t>
  </si>
  <si>
    <t>048323632249</t>
  </si>
  <si>
    <t>048323597142</t>
  </si>
  <si>
    <t>048323609463</t>
  </si>
  <si>
    <t>048323609470</t>
  </si>
  <si>
    <t>048323609487</t>
  </si>
  <si>
    <t>048323609494</t>
  </si>
  <si>
    <t>048323609500</t>
  </si>
  <si>
    <t>048323609548</t>
  </si>
  <si>
    <t>048323609555</t>
  </si>
  <si>
    <t>048323609562</t>
  </si>
  <si>
    <t>048323645249</t>
  </si>
  <si>
    <t>048323645270</t>
  </si>
  <si>
    <t>048323645317</t>
  </si>
  <si>
    <t>048323645409</t>
  </si>
  <si>
    <t>048323645522</t>
  </si>
  <si>
    <t>048323645485</t>
  </si>
  <si>
    <t>048323656306</t>
  </si>
  <si>
    <t>048323655637</t>
  </si>
  <si>
    <t>048323655651</t>
  </si>
  <si>
    <t>048323655668</t>
  </si>
  <si>
    <t>048323655675</t>
  </si>
  <si>
    <t>048323639590</t>
  </si>
  <si>
    <t>048323639606</t>
  </si>
  <si>
    <t>048323666121</t>
  </si>
  <si>
    <t>048323666138</t>
  </si>
  <si>
    <t>048323666145</t>
  </si>
  <si>
    <t>048323666152</t>
  </si>
  <si>
    <t>048323666664</t>
  </si>
  <si>
    <t>048323666671</t>
  </si>
  <si>
    <t>048323666688</t>
  </si>
  <si>
    <t>048323666718</t>
  </si>
  <si>
    <t>048323666725</t>
  </si>
  <si>
    <t>048323666732</t>
  </si>
  <si>
    <t>048323666756</t>
  </si>
  <si>
    <t>048323666763</t>
  </si>
  <si>
    <t>048323666633</t>
  </si>
  <si>
    <t>048323666640</t>
  </si>
  <si>
    <t>048323666657</t>
  </si>
  <si>
    <t>048323666558</t>
  </si>
  <si>
    <t>048323666565</t>
  </si>
  <si>
    <t>048323666572</t>
  </si>
  <si>
    <t>048323666589</t>
  </si>
  <si>
    <t>048323666596</t>
  </si>
  <si>
    <t>048323666602</t>
  </si>
  <si>
    <t>048323666039</t>
  </si>
  <si>
    <t>048323666046</t>
  </si>
  <si>
    <t>048323666053</t>
  </si>
  <si>
    <t>048323096379</t>
  </si>
  <si>
    <t>048323471787</t>
  </si>
  <si>
    <t>048323096386</t>
  </si>
  <si>
    <t>048323077675</t>
  </si>
  <si>
    <t>048323316514</t>
  </si>
  <si>
    <t>048323087230</t>
  </si>
  <si>
    <t>048323029179</t>
  </si>
  <si>
    <t>048323297226</t>
  </si>
  <si>
    <t>048323029186</t>
  </si>
  <si>
    <t>048323474092</t>
  </si>
  <si>
    <t>048323435604</t>
  </si>
  <si>
    <t>048323029216</t>
  </si>
  <si>
    <t>048323321525</t>
  </si>
  <si>
    <t>048323029445</t>
  </si>
  <si>
    <t>048323029483</t>
  </si>
  <si>
    <t>048323559454</t>
  </si>
  <si>
    <t>048323564915</t>
  </si>
  <si>
    <t>048323659574</t>
  </si>
  <si>
    <t>048323659598</t>
  </si>
  <si>
    <t>048323659604</t>
  </si>
  <si>
    <t>048323662178</t>
  </si>
  <si>
    <t>048323662192</t>
  </si>
  <si>
    <t>048323662215</t>
  </si>
  <si>
    <t>048323666862</t>
  </si>
  <si>
    <t>048323666879</t>
  </si>
  <si>
    <t>048323666886</t>
  </si>
  <si>
    <t>048323666893</t>
  </si>
  <si>
    <t>048323666909</t>
  </si>
  <si>
    <t>048323666916</t>
  </si>
  <si>
    <t>048323432153</t>
  </si>
  <si>
    <t>048323432160</t>
  </si>
  <si>
    <t>048323478489</t>
  </si>
  <si>
    <t>048323478496</t>
  </si>
  <si>
    <t>048323432245</t>
  </si>
  <si>
    <t>048323432252</t>
  </si>
  <si>
    <t>048323432269</t>
  </si>
  <si>
    <t>048323444903</t>
  </si>
  <si>
    <t>048323444910</t>
  </si>
  <si>
    <t>048323444927</t>
  </si>
  <si>
    <t>048323245029</t>
  </si>
  <si>
    <t>048323244947</t>
  </si>
  <si>
    <t>048323245456</t>
  </si>
  <si>
    <t>048323245579</t>
  </si>
  <si>
    <t>048323245586</t>
  </si>
  <si>
    <t>048323628143</t>
  </si>
  <si>
    <t>048323628150</t>
  </si>
  <si>
    <t>048323628167</t>
  </si>
  <si>
    <t>048323628471</t>
  </si>
  <si>
    <t>048323628488</t>
  </si>
  <si>
    <t>048323630665</t>
  </si>
  <si>
    <t>048323630672</t>
  </si>
  <si>
    <t>048323630689</t>
  </si>
  <si>
    <t>048323631013</t>
  </si>
  <si>
    <t>048323631020</t>
  </si>
  <si>
    <t>048323631037</t>
  </si>
  <si>
    <t>048323259361</t>
  </si>
  <si>
    <t>048323259378</t>
  </si>
  <si>
    <t>048323259385</t>
  </si>
  <si>
    <t>048323259316</t>
  </si>
  <si>
    <t>048323259323</t>
  </si>
  <si>
    <t>048323331104</t>
  </si>
  <si>
    <t>048323331098</t>
  </si>
  <si>
    <t>048323331029</t>
  </si>
  <si>
    <t>048323331012</t>
  </si>
  <si>
    <t>048323601467</t>
  </si>
  <si>
    <t>048323601474</t>
  </si>
  <si>
    <t>048323601504</t>
  </si>
  <si>
    <t>048323601511</t>
  </si>
  <si>
    <t>048323601627</t>
  </si>
  <si>
    <t>048323619707</t>
  </si>
  <si>
    <t>048323619745</t>
  </si>
  <si>
    <t>048323619905</t>
  </si>
  <si>
    <t>048323662765</t>
  </si>
  <si>
    <t>048323662772</t>
  </si>
  <si>
    <t>048323662789</t>
  </si>
  <si>
    <t>048323662796</t>
  </si>
  <si>
    <t>048323662826</t>
  </si>
  <si>
    <t>048323662833</t>
  </si>
  <si>
    <t>048323662673</t>
  </si>
  <si>
    <t>048323662680</t>
  </si>
  <si>
    <t>048323662727</t>
  </si>
  <si>
    <t>048323662734</t>
  </si>
  <si>
    <t>048323662741</t>
  </si>
  <si>
    <t>048323662956</t>
  </si>
  <si>
    <t>048323662994</t>
  </si>
  <si>
    <t>048323663007</t>
  </si>
  <si>
    <t>048323663038</t>
  </si>
  <si>
    <t>048323663045</t>
  </si>
  <si>
    <t>048323663052</t>
  </si>
  <si>
    <t>048323470995</t>
  </si>
  <si>
    <t>048323666831</t>
  </si>
  <si>
    <t>048323666848</t>
  </si>
  <si>
    <t>048323666855</t>
  </si>
  <si>
    <t>048323663243</t>
  </si>
  <si>
    <t>048323663267</t>
  </si>
  <si>
    <t>048323663274</t>
  </si>
  <si>
    <t>048323663281</t>
  </si>
  <si>
    <t>048323663298</t>
  </si>
  <si>
    <t>048323659383</t>
  </si>
  <si>
    <t>048323659390</t>
  </si>
  <si>
    <t>048323659406</t>
  </si>
  <si>
    <t>048323659420</t>
  </si>
  <si>
    <t>048323659376</t>
  </si>
  <si>
    <t>048323659451</t>
  </si>
  <si>
    <t>048323659468</t>
  </si>
  <si>
    <t>048323659475</t>
  </si>
  <si>
    <t>048323659482</t>
  </si>
  <si>
    <t>048323659543</t>
  </si>
  <si>
    <t>048323659550</t>
  </si>
  <si>
    <t>048323659505</t>
  </si>
  <si>
    <t>048323659512</t>
  </si>
  <si>
    <t>048323659529</t>
  </si>
  <si>
    <t>048323659536</t>
  </si>
  <si>
    <t>048323663304</t>
  </si>
  <si>
    <t>048323663311</t>
  </si>
  <si>
    <t>048323663328</t>
  </si>
  <si>
    <t>048323663335</t>
  </si>
  <si>
    <t>048323663410</t>
  </si>
  <si>
    <t>048323661799</t>
  </si>
  <si>
    <t>048323661805</t>
  </si>
  <si>
    <t>048323661812</t>
  </si>
  <si>
    <t>048323661829</t>
  </si>
  <si>
    <t>048323661836</t>
  </si>
  <si>
    <t>048323661850</t>
  </si>
  <si>
    <t>048323661867</t>
  </si>
  <si>
    <t>048323661874</t>
  </si>
  <si>
    <t>048323661881</t>
  </si>
  <si>
    <t>048323661980</t>
  </si>
  <si>
    <t>048323661997</t>
  </si>
  <si>
    <t>048323662000</t>
  </si>
  <si>
    <t>048323663649</t>
  </si>
  <si>
    <t>048323663656</t>
  </si>
  <si>
    <t>048323663663</t>
  </si>
  <si>
    <t>048323663687</t>
  </si>
  <si>
    <t>048323663694</t>
  </si>
  <si>
    <t>048323663700</t>
  </si>
  <si>
    <t>048323663717</t>
  </si>
  <si>
    <t>048323663724</t>
  </si>
  <si>
    <t>048323663755</t>
  </si>
  <si>
    <t>048323663762</t>
  </si>
  <si>
    <t>048323663786</t>
  </si>
  <si>
    <t>048323663793</t>
  </si>
  <si>
    <t>048323661249</t>
  </si>
  <si>
    <t>048323661256</t>
  </si>
  <si>
    <t>048323661263</t>
  </si>
  <si>
    <t>048323661270</t>
  </si>
  <si>
    <t>048323661287</t>
  </si>
  <si>
    <t>048323661294</t>
  </si>
  <si>
    <t>048323661300</t>
  </si>
  <si>
    <t>048323661317</t>
  </si>
  <si>
    <t>048323661324</t>
  </si>
  <si>
    <t>048323663342</t>
  </si>
  <si>
    <t>048323661447</t>
  </si>
  <si>
    <t>048323663359</t>
  </si>
  <si>
    <t>048323661454</t>
  </si>
  <si>
    <t>048323663366</t>
  </si>
  <si>
    <t>048323661461</t>
  </si>
  <si>
    <t>048323663373</t>
  </si>
  <si>
    <t>048323661478</t>
  </si>
  <si>
    <t>048323661485</t>
  </si>
  <si>
    <t>048323661492</t>
  </si>
  <si>
    <t>048323661508</t>
  </si>
  <si>
    <t>048323661515</t>
  </si>
  <si>
    <t>048323661522</t>
  </si>
  <si>
    <t>048323661539</t>
  </si>
  <si>
    <t>048323661546</t>
  </si>
  <si>
    <t>048323661553</t>
  </si>
  <si>
    <t>048323661560</t>
  </si>
  <si>
    <t>048323661577</t>
  </si>
  <si>
    <t>048323661584</t>
  </si>
  <si>
    <t>048323661591</t>
  </si>
  <si>
    <t>048323068963</t>
  </si>
  <si>
    <t>048323496704</t>
  </si>
  <si>
    <t>048323496711</t>
  </si>
  <si>
    <t>048323496728</t>
  </si>
  <si>
    <t>048323496742</t>
  </si>
  <si>
    <t>048323496759</t>
  </si>
  <si>
    <t>048323066129</t>
  </si>
  <si>
    <t>048323066112</t>
  </si>
  <si>
    <t>048323066839</t>
  </si>
  <si>
    <t>048323497572</t>
  </si>
  <si>
    <t>048323497589</t>
  </si>
  <si>
    <t>048323497596</t>
  </si>
  <si>
    <t>048323497619</t>
  </si>
  <si>
    <t>048323497626</t>
  </si>
  <si>
    <t>048323497480</t>
  </si>
  <si>
    <t>048323497497</t>
  </si>
  <si>
    <t>048323497503</t>
  </si>
  <si>
    <t>048323605281</t>
  </si>
  <si>
    <t>048323497527</t>
  </si>
  <si>
    <t>048323497534</t>
  </si>
  <si>
    <t>048323550482</t>
  </si>
  <si>
    <t>048323433778</t>
  </si>
  <si>
    <t>048323433785</t>
  </si>
  <si>
    <t>048323433792</t>
  </si>
  <si>
    <t>048323524285</t>
  </si>
  <si>
    <t>048323524292</t>
  </si>
  <si>
    <t>048323524308</t>
  </si>
  <si>
    <t>048323234252</t>
  </si>
  <si>
    <t>048323234269</t>
  </si>
  <si>
    <t>048323234276</t>
  </si>
  <si>
    <t>048323665162</t>
  </si>
  <si>
    <t>048323665179</t>
  </si>
  <si>
    <t>048323665186</t>
  </si>
  <si>
    <t>048323422758</t>
  </si>
  <si>
    <t>048323422765</t>
  </si>
  <si>
    <t>048323422772</t>
  </si>
  <si>
    <t>048323323376</t>
  </si>
  <si>
    <t>048323323369</t>
  </si>
  <si>
    <t>048323323383</t>
  </si>
  <si>
    <t>048323507592</t>
  </si>
  <si>
    <t>048323507608</t>
  </si>
  <si>
    <t>048323507615</t>
  </si>
  <si>
    <t>048323651851</t>
  </si>
  <si>
    <t>048323651868</t>
  </si>
  <si>
    <t>048323422956</t>
  </si>
  <si>
    <t>048323422963</t>
  </si>
  <si>
    <t>048323429573</t>
  </si>
  <si>
    <t>048323631365</t>
  </si>
  <si>
    <t>048323631525</t>
  </si>
  <si>
    <t>048323631570</t>
  </si>
  <si>
    <t>048323471558</t>
  </si>
  <si>
    <t>048323471565</t>
  </si>
  <si>
    <t>048323471572</t>
  </si>
  <si>
    <t>048323496896</t>
  </si>
  <si>
    <t>048323496834</t>
  </si>
  <si>
    <t>048323496841</t>
  </si>
  <si>
    <t>048323496858</t>
  </si>
  <si>
    <t>048323496803</t>
  </si>
  <si>
    <t>048323496810</t>
  </si>
  <si>
    <t>048323496865</t>
  </si>
  <si>
    <t>048323496872</t>
  </si>
  <si>
    <t>048323496889</t>
  </si>
  <si>
    <t>ZZWIGF1071_051_wht_1</t>
  </si>
  <si>
    <t>ZZWIGF1071_052_blk_0</t>
  </si>
  <si>
    <t>Wigwam King Cotton High Heavyweight Socks</t>
  </si>
  <si>
    <t>Wigwam 1015 Worsted Wool Hat</t>
  </si>
  <si>
    <t>B086S9V3JF</t>
  </si>
  <si>
    <t>B07HWXNSMB</t>
  </si>
  <si>
    <t>Wigwam Advantage 3 Pack P2804 Sock, White - Medium</t>
  </si>
  <si>
    <t>B007WPNNNM</t>
  </si>
  <si>
    <t>Wigwam Super 60 Crew 3 Pack S1077 Sock, White - XL</t>
  </si>
  <si>
    <t>B00VZY2VMA</t>
  </si>
  <si>
    <t>Wigwam Men's At Work 3 Pack Socks, Grey, X-Large</t>
  </si>
  <si>
    <t>Wigwam 625 Wool Crew Socks</t>
  </si>
  <si>
    <t>Wigwam Advantage Crew Socks</t>
  </si>
  <si>
    <t>Wigwam Diabetic Sport Crew Midweight Socks</t>
  </si>
  <si>
    <t>Wigwam Super 60 Tube 3-Pack Midweight Socks</t>
  </si>
  <si>
    <t>Wigwam Diabetic Thermal Crew Heavyweight Wool Socks</t>
  </si>
  <si>
    <t>Wigwam Diabetic Sport Quarter Midweight Socks</t>
  </si>
  <si>
    <t>Wigwam At Work Double Duty 2-Pack Socks</t>
  </si>
  <si>
    <t>Wigwam 7-Footer Extra Tall Socks</t>
  </si>
  <si>
    <t>Wigwam At Work Steel Toe Heavyweight Socks</t>
  </si>
  <si>
    <t>Wigwam 40 Below Wool Heavyweight Socks</t>
  </si>
  <si>
    <t>Wigwam Super Boot Heavyweight 2-Pack Socks</t>
  </si>
  <si>
    <t>Wigwam Master Lightweight Crew Socks</t>
  </si>
  <si>
    <t>Wigwam 40 Below II Wool Heavyweight Socks</t>
  </si>
  <si>
    <t>Wigwam Diabetic Walker Ultra-Lightweight Crew Socks</t>
  </si>
  <si>
    <t>B00NF6XNOG</t>
  </si>
  <si>
    <t>Wigwam 622 Classic Lightweight Acrylic Socks, Black, LG</t>
  </si>
  <si>
    <t>Wigwam 625 F1086 Socks, White - LG</t>
  </si>
  <si>
    <t>B087D5FJXQ</t>
  </si>
  <si>
    <t>B09G6XGD4Y</t>
  </si>
  <si>
    <t>Wigwam 625 2-Pack White X-Large</t>
  </si>
  <si>
    <t>Wigwam Diabetic Sport Crew Socks 2-Pack Black Large</t>
  </si>
  <si>
    <t>B09MDBSQCH</t>
  </si>
  <si>
    <t>B08TBYSG5W</t>
  </si>
  <si>
    <t>Wigwam Volley 3-Pack Socks S1052 White - Medium</t>
  </si>
  <si>
    <t>B002KJSZLU</t>
  </si>
  <si>
    <t>Wigwam At Work Crew 3-Pack S1221 Sock, White/Sweatshirt Grey Lt - XL</t>
  </si>
  <si>
    <t>B07BLW1YQ5</t>
  </si>
  <si>
    <t>B07MSHT6LV</t>
  </si>
  <si>
    <t>B007WPNNCS</t>
  </si>
  <si>
    <t>B007WPNNH8</t>
  </si>
  <si>
    <t>Wigwam Super 60 Quarter 6 Pack S9014 Sock, White - X-Large</t>
  </si>
  <si>
    <t>B007WPNNBY</t>
  </si>
  <si>
    <t>B007WPNNFA</t>
  </si>
  <si>
    <t>Wigwam Men's Super 60 Low-Cut 6 Pack Socks,White,Large/shoe Size:Men's 9-12,Women's 10-13</t>
  </si>
  <si>
    <t>Wigwam Super 60 Crew 6 Pack S9020 Sock, White - MD</t>
  </si>
  <si>
    <t>B0089NMB4I</t>
  </si>
  <si>
    <t>Wigwam Supper 60 Crew 6 Pack S9020 Sock, White - LG</t>
  </si>
  <si>
    <t>B008PJBOW6</t>
  </si>
  <si>
    <t>Wigwam Super 60 Crew 6 Pack S9020 Sock, White - XL</t>
  </si>
  <si>
    <t>B0CY4HJYXJ</t>
  </si>
  <si>
    <t>B0CY3QVG3W</t>
  </si>
  <si>
    <t>Wigwam Unisex The Icon Crew, Black, Large</t>
  </si>
  <si>
    <t>B007WPNNDC</t>
  </si>
  <si>
    <t>B0D9SKK6CR</t>
  </si>
  <si>
    <t>WIGS9014_51_whi_4</t>
  </si>
  <si>
    <t>048323667821</t>
  </si>
  <si>
    <t>ZZWIGS9014_51_whi_4</t>
  </si>
  <si>
    <t>B09F9CT7V7</t>
  </si>
  <si>
    <t>Wigwam 625, P8768 2-Pack White Large</t>
  </si>
  <si>
    <t>B001A4766G</t>
  </si>
  <si>
    <t>Wigwam El Pine F2044 Sock, Grey Twist - XL</t>
  </si>
  <si>
    <t>B001A46S1U</t>
  </si>
  <si>
    <t>Wigwam Merino Silk Hiker F2337 Sock, Olive Green Heather - MD</t>
  </si>
  <si>
    <t>B000TA1SIY</t>
  </si>
  <si>
    <t>Wigwam Men's At Work Double Duty 2-Pack Crew Length Work Sock,Grey,Large/shoe Size:Men's 9-12,Women's 10-13</t>
  </si>
  <si>
    <t>B00ZW9D76I</t>
  </si>
  <si>
    <t>B0CYY2ZT2F</t>
  </si>
  <si>
    <t>Wigwam 625 Wool Crew 2-Pack Socks</t>
  </si>
  <si>
    <t>WIGP2801_058_gry_2</t>
  </si>
  <si>
    <t>Wigwam Diabetic Walker Crew 3-Pack Socks</t>
  </si>
  <si>
    <t>WIGP2837_052_blk_3</t>
  </si>
  <si>
    <t>Wigwam Volly 3-Pack Crew Socks</t>
  </si>
  <si>
    <t>Wigwam King Cotton Crew Heavyweight 3-Pack Socks</t>
  </si>
  <si>
    <t>Wigwam At Work Crew Cotton 3-Pack Socks</t>
  </si>
  <si>
    <t>Wigwam At Work Steel Toe Heavyweight 3-Pack Socks</t>
  </si>
  <si>
    <t>WIGP2834_731_whi_3</t>
  </si>
  <si>
    <t>Wigwam Merino Comfort Hiker 2-Pack Socks</t>
  </si>
  <si>
    <t>Wigwam Cool-Lite Hiker Quarter Midweight 3-Pack Socks</t>
  </si>
  <si>
    <t>Wigwam At Work Quarter 3-Pack Cotton Socks</t>
  </si>
  <si>
    <t>Wigwam Diabetic Sport Crew Midweight 2-Pack Socks</t>
  </si>
  <si>
    <t>Wigwam The Icon Lightweight Crew Socks</t>
  </si>
  <si>
    <t>Wigwam Thunder Quarter Lightweight 3-Pack Socks</t>
  </si>
  <si>
    <t>Wigwam At Work DuraSole Pro 2-Pack Socks</t>
  </si>
  <si>
    <t>Wigwam Cool-Lite Hiker Crew Midweight 2-Pack Socks</t>
  </si>
  <si>
    <t>Wigwam The Gamekeeper Midweight Boot Socks</t>
  </si>
  <si>
    <t>Wigwam Canada II Heavyweight Wool Crew Socks</t>
  </si>
  <si>
    <t>Wigwam Master Lightweight Crew 3-Pack Socks</t>
  </si>
  <si>
    <t>Wigwam King Cotton High Heavyweight 3-Pack Socks</t>
  </si>
  <si>
    <t>WIGP2833_051_whi_1</t>
  </si>
  <si>
    <t>Wigwam Coolmax Liner Ultra-Lightweight Crew 3-Pack Socks</t>
  </si>
  <si>
    <t>Wigwam Super 60 Crew 6-Pack Midweight Cotton Socks</t>
  </si>
  <si>
    <t>Wigwam King Cotton Heavyweight Low 3-Pack Socks</t>
  </si>
  <si>
    <t>WIGP2835_051_wht_1</t>
  </si>
  <si>
    <t>Wigwam Hot Weather Dress Crew Socks</t>
  </si>
  <si>
    <t>Wigwam Thermax II Cap</t>
  </si>
  <si>
    <t>Wigwam Merino Hiker Midweight Crew Socks</t>
  </si>
  <si>
    <t>Wigwam Moose Heavyweight Crew Socks</t>
  </si>
  <si>
    <t>Wigwam Advantage Crew 3-Pack Socks</t>
  </si>
  <si>
    <t>Wigwam Volley Midweight Crew Socks</t>
  </si>
  <si>
    <t>Wigwam Cypress Lightweight Cotton Crew Socks</t>
  </si>
  <si>
    <t>Wigwam Super 60 Quarter 6-Pack Midweight Cotton Socks</t>
  </si>
  <si>
    <t>Wigwam Cool-Lite Low-Cut Lightweight Socks</t>
  </si>
  <si>
    <t>Wigwam Cool-Lite Low-Cut Lightweight 2-Pack Socks</t>
  </si>
  <si>
    <t>Wigwam Ragg Twist Lightweight Crew Socks</t>
  </si>
  <si>
    <t>Wigwam At Work All Day Lightweight Crew 3-Pack Socks</t>
  </si>
  <si>
    <t>Wigwam Fjord Midweight Crew Merino Wool Socks</t>
  </si>
  <si>
    <t>Wigwam Gobi Liner Ultra-Lightweight Crew Socks</t>
  </si>
  <si>
    <t>Wigwam Merino Lite Hiker Midweight Crew Socks</t>
  </si>
  <si>
    <t>Wigwam Hiking Outdoor Midweight Crew Socks</t>
  </si>
  <si>
    <t>Wigwam USA Merino Wool Ultra Cool Lite Mid-Crew Socks</t>
  </si>
  <si>
    <t>Wigwam Cool-Lite Quarter Lightweight Socks</t>
  </si>
  <si>
    <t>Wigwam Super 60 Low Cut 6-Pack Midweight Cotton Socks</t>
  </si>
  <si>
    <t>Wigwam Super 60 Low Cut 3-Pack Midweight Socks</t>
  </si>
  <si>
    <t>Wigwam Diabetic Sport Quarter Midweight 2-Pack Socks</t>
  </si>
  <si>
    <t>ZZWIGP2801_058_gry_1</t>
  </si>
  <si>
    <t>ZZWIGP2801_058_gry_2</t>
  </si>
  <si>
    <t>ZZWIGP2833_051_whi_1</t>
  </si>
  <si>
    <t>ZZWIGP2833_051_whi_2</t>
  </si>
  <si>
    <t>ZZWIGP2833_051_whi_3</t>
  </si>
  <si>
    <t>ZZWIGP2834_052_blk_3</t>
  </si>
  <si>
    <t>ZZWIGP2834_731_whi_2M</t>
  </si>
  <si>
    <t>ZZWIGP2834_731_whi_3M</t>
  </si>
  <si>
    <t>ZZWIGP2835_051_wht_1</t>
  </si>
  <si>
    <t>ZZWIGP2836_050_gtw_1</t>
  </si>
  <si>
    <t>ZZWIGP2836_050_gtw_2</t>
  </si>
  <si>
    <t>ZZWIGP2836_052_blk_1</t>
  </si>
  <si>
    <t>ZZWIGP2836_052_blk_2</t>
  </si>
  <si>
    <t>ZZWIGP2837_051_wht_1</t>
  </si>
  <si>
    <t>ZZWIGP2837_051_wht_2</t>
  </si>
  <si>
    <t>ZZWIGP2837_051_wht_3</t>
  </si>
  <si>
    <t>ZZWIGP2837_052_blk_1</t>
  </si>
  <si>
    <t>ZZWIGP2837_052_blk_2</t>
  </si>
  <si>
    <t>ZZWIGP2837_052_blk_3</t>
  </si>
  <si>
    <t>WIGP2801_058_gry_1</t>
  </si>
  <si>
    <t>WIGP2833_051_whi_2</t>
  </si>
  <si>
    <t>WIGP2833_051_whi_3</t>
  </si>
  <si>
    <t>WIGP2834_052_bla_1</t>
  </si>
  <si>
    <t>WIGP2834_052_bla_2</t>
  </si>
  <si>
    <t>WIGP2834_052_blk_3</t>
  </si>
  <si>
    <t>WIGP2834_731_whi_2</t>
  </si>
  <si>
    <t>WIGP2836_050_gtw_1</t>
  </si>
  <si>
    <t>WIGP2836_050_gtw_2</t>
  </si>
  <si>
    <t>WIGP2836_052_blk_1</t>
  </si>
  <si>
    <t>WIGP2836_052_blk_2</t>
  </si>
  <si>
    <t>WIGP2837_051_wht_1</t>
  </si>
  <si>
    <t>WIGP2837_051_wht_2</t>
  </si>
  <si>
    <t>WIGP2837_051_wht_3</t>
  </si>
  <si>
    <t>WIGP2837_052_blk_1</t>
  </si>
  <si>
    <t>WIGP2837_052_blk_2</t>
  </si>
  <si>
    <t>048323669689</t>
  </si>
  <si>
    <t>048323669696</t>
  </si>
  <si>
    <t>048323669559</t>
  </si>
  <si>
    <t>048323669566</t>
  </si>
  <si>
    <t>048323669573</t>
  </si>
  <si>
    <t>048323669498</t>
  </si>
  <si>
    <t>048323669504</t>
  </si>
  <si>
    <t>048323669511</t>
  </si>
  <si>
    <t>048323669528</t>
  </si>
  <si>
    <t>048323669535</t>
  </si>
  <si>
    <t>048323669481</t>
  </si>
  <si>
    <t>048323669580</t>
  </si>
  <si>
    <t>048323669597</t>
  </si>
  <si>
    <t>048323669603</t>
  </si>
  <si>
    <t>048323669610</t>
  </si>
  <si>
    <t>048323669627</t>
  </si>
  <si>
    <t>048323669634</t>
  </si>
  <si>
    <t>048323669641</t>
  </si>
  <si>
    <t>048323669658</t>
  </si>
  <si>
    <t>048323669665</t>
  </si>
  <si>
    <t>048323669672</t>
  </si>
  <si>
    <t>P2833</t>
  </si>
  <si>
    <t>P2834</t>
  </si>
  <si>
    <t>P2835</t>
  </si>
  <si>
    <t>P2836</t>
  </si>
  <si>
    <t>P2837</t>
  </si>
  <si>
    <t>Grey Twist</t>
  </si>
  <si>
    <t>Wigwam 1017 Acrylic Hat</t>
  </si>
  <si>
    <t>Wigwam 40 Below Thermal Boot 3-Pack Socks</t>
  </si>
  <si>
    <t>Wigwam 622 Socks</t>
  </si>
  <si>
    <t>Wigwam 743 Acrylic Neck Warmer</t>
  </si>
  <si>
    <t>Wigwam 7-Footer Extra Tall 3-Pack Socks</t>
  </si>
  <si>
    <t>Wigwam Attain Lightweight Low 2-Pack Socks</t>
  </si>
  <si>
    <t>Wigwam Axiom Lightweight No Show Socks</t>
  </si>
  <si>
    <t>Wigwam Bravura Lightweight Low 2-Pack Socks</t>
  </si>
  <si>
    <t>Wigwam Bravura Quarter Lightweight 2-Pack Socks</t>
  </si>
  <si>
    <t>Wigwam Cool-Lite Crew Lightweight Socks</t>
  </si>
  <si>
    <t>Wigwam Cool-Lite Quarter Lightweight 2-Pack Socks</t>
  </si>
  <si>
    <t>Wigwam Coolmax Liner Ultra-Lightweight Crew Socks</t>
  </si>
  <si>
    <t>Wigwam Over the Top Over-The-Calf Lightweight Socks</t>
  </si>
  <si>
    <t>Wigwam Sirocco Midweight Wool Over-The-Calf Socks</t>
  </si>
  <si>
    <t>Wigwam Snow Shield Over-The-Calf Socks</t>
  </si>
  <si>
    <t>Wigwam Snow Ultra-Lightweight Over-The-Calf Socks</t>
  </si>
  <si>
    <t>Wigwam Stryation Lightweight Quarter Socks</t>
  </si>
  <si>
    <t>Wigwam Super 60 Tube 6-Pack Midweight Cotton Socks</t>
  </si>
  <si>
    <t>Wigwam Thunder Low Lightweight 3-Pack Socks</t>
  </si>
  <si>
    <t>Wigwam Trail Junkie Lightweight Mid Crew Socks</t>
  </si>
  <si>
    <t>Wigwam Trail Junkie Lightweight Quarter Socks</t>
  </si>
  <si>
    <t>Wigwam Ultra Cool-Lite Low 3-Pack Socks</t>
  </si>
  <si>
    <t>Wigwam Ultra Cool-Lite Low Socks</t>
  </si>
  <si>
    <t>Wigwam Ultra Cool-Lite Quarter 3-Pack Socks</t>
  </si>
  <si>
    <t>Wigwam Uniform 2-Pack Socks</t>
  </si>
  <si>
    <t>Wigwam USA Snow Over-The-Calf Lightweight Socks</t>
  </si>
  <si>
    <t>Wigwam Womens Merino Lite Crew Socks</t>
  </si>
  <si>
    <t>LM TOTALS</t>
  </si>
  <si>
    <t>Wigwam Unisex Diabetic Sport Quarter Black Socks XL (Men's Shoe 12-15)</t>
  </si>
  <si>
    <t>B001A47PGC</t>
  </si>
  <si>
    <t>Wigwam Men's Ironman Thunder Pro Low-Cut Socks,White,Large/shoe Size:Men's 9-12,Women's 10-13</t>
  </si>
  <si>
    <t>B007WPNNC8</t>
  </si>
  <si>
    <t>B0CDZ8YRKD</t>
  </si>
  <si>
    <t>ZZWIGF2522_01A_ppl_0</t>
  </si>
  <si>
    <t>WIGF2522_01A_ppl_0</t>
  </si>
  <si>
    <t>Product variant SKU</t>
  </si>
  <si>
    <t>Net items sold</t>
  </si>
  <si>
    <t>B07FBJ3VHV</t>
  </si>
  <si>
    <t>Wigwam Canada II Socks, Charcoal - Large</t>
  </si>
  <si>
    <t>B000TA529A</t>
  </si>
  <si>
    <t>Wigwam At Work Durasole Pro 2-Pack S1349 Sock, White/Grey - Large</t>
  </si>
  <si>
    <t>Wigwam Cool Lite Hiker Quarter Socks 3-Pack, Black/Gray Large</t>
  </si>
  <si>
    <t>Wigwam 625 F1086 Socks, White - MD</t>
  </si>
  <si>
    <t>B003SUIO6G</t>
  </si>
  <si>
    <t>Wigwam Diabetic Sport Crew F1363 Sock, White - X-Large</t>
  </si>
  <si>
    <t>Wigwam Cool Lite Hiker Quarter Socks, Black/Gray - Large</t>
  </si>
  <si>
    <t>B09G6WJKK6</t>
  </si>
  <si>
    <t>Wigwam Men's Super 60 Ouarter 3 Pack Socks,White,Medium/shoe Size : Men's 5-9.5,Women's 6-10</t>
  </si>
  <si>
    <t>B07FBKBPYB</t>
  </si>
  <si>
    <t>Wigwam Canada II Socks, Charcoal - X-Large</t>
  </si>
  <si>
    <t>B00FRIIOEO</t>
  </si>
  <si>
    <t>Wigwam Merino Lite Hiker Socks, Oxford - Large</t>
  </si>
  <si>
    <t>B07MSJVD6N</t>
  </si>
  <si>
    <t>Wigwam Merino Lite Hiker Socks, Oxford - X-Large</t>
  </si>
  <si>
    <t>Wigwam Merino Comfort Hiker F2322 Sock, Black II - Medium</t>
  </si>
  <si>
    <t>B07FBK4L2H</t>
  </si>
  <si>
    <t>Wigwam Merino Comfort Hiker F2322 Sock, Black II - Large</t>
  </si>
  <si>
    <t>Wigwam Cool Lite Hiker Quarter Socks 3-Pack Black/Gray X-Large</t>
  </si>
  <si>
    <t>B0BP21F138</t>
  </si>
  <si>
    <t>Wigwam Cool Lite Quarter Socks 2-Pack Grey Medium</t>
  </si>
  <si>
    <t>B09N2F9WGG</t>
  </si>
  <si>
    <t>Wigwam Diabetic Sport Crew Socks 2-Pack White X-Large</t>
  </si>
  <si>
    <t>B000TAADTO</t>
  </si>
  <si>
    <t>Wigwam Super 60 Tube 3 Pack S1004 Sock, White - OS</t>
  </si>
  <si>
    <t>Wigwam Super 60 Crew 3 Pack S1077 Sock, White - LG</t>
  </si>
  <si>
    <t>Wigwam Cool Lite Hiker Quarter Socks 3-Pack, Gray/Charcoal Large</t>
  </si>
  <si>
    <t>B007WPNNG4</t>
  </si>
  <si>
    <t>Wigwam Men's Super 60 Low-Cut 6 Pack Socks,White,Medium/shoe Size:Men's 5-9.5,Women's 6-10</t>
  </si>
  <si>
    <t>B09GG2CJJX</t>
  </si>
  <si>
    <t>B0CVJYJB3Y</t>
  </si>
  <si>
    <t>Wigwam Snow Ultra-Lite Socks, Black - Large</t>
  </si>
  <si>
    <t>Wigwam Diabetic Sport Quarter Socks 2-Pack White X-Large</t>
  </si>
  <si>
    <t>Wigwam Ultra Cool Lite Quarter Socks 3-pack Onyx - Large</t>
  </si>
  <si>
    <t>B0CDYX1ZF3</t>
  </si>
  <si>
    <t>Wigwam At Work All-Day Crew Socks 3-Pack S1223 White - Medium</t>
  </si>
  <si>
    <t>B00ZW9D6TG</t>
  </si>
  <si>
    <t>B07M7LDLS2</t>
  </si>
  <si>
    <t>Wigwam Merino Lite Hiker Socks, Navy - Large</t>
  </si>
  <si>
    <t>Wigwam Ultra Cool Lite Low 3 - Pack 79D Caribbean LG, Caribbean - Large</t>
  </si>
  <si>
    <t>Wigwam Ultra Cool Lite Quarter socks 3-Pack, Caribbean - Medium</t>
  </si>
  <si>
    <t>B0CYVV1FJ6</t>
  </si>
  <si>
    <t>B0CYV5T7HX</t>
  </si>
  <si>
    <t>Wigwam Unisex The Game Keeper Boot Socks, Orange, X-Large</t>
  </si>
  <si>
    <t>B0CYVCQFX8</t>
  </si>
  <si>
    <t>Wigwam Unisex The Game Keeper Boot Socks, Orange, Large</t>
  </si>
  <si>
    <t>Net sales</t>
  </si>
  <si>
    <t>(average)</t>
  </si>
  <si>
    <t>B07KRZWMRF</t>
  </si>
  <si>
    <t>B0BSB9SVPH</t>
  </si>
  <si>
    <t>Wigwam Cool Lite Hiker Quarter Socks, Gray/Charcoal - Large</t>
  </si>
  <si>
    <t>B000TA1SHU</t>
  </si>
  <si>
    <t>Wigwam Ultra Cool Lite Quarter socks 3-Pack, Caribbean - Large</t>
  </si>
  <si>
    <t>B00NF6Y1PG</t>
  </si>
  <si>
    <t>B0CVZ7XTF9</t>
  </si>
  <si>
    <t>B086LKQTL9</t>
  </si>
  <si>
    <t>B00GWPDULI</t>
  </si>
  <si>
    <t>WigWam King Cotton High Socks, Medium, White</t>
  </si>
  <si>
    <t>Wigwam Coolmax Liner F2161 Sock, White - Medium</t>
  </si>
  <si>
    <t>B00NF6XNY6</t>
  </si>
  <si>
    <t>Wigwam Diabetic Sport Crew F1363 Sock, White - Large</t>
  </si>
  <si>
    <t>B00NF6XO9A</t>
  </si>
  <si>
    <t>Product title</t>
  </si>
  <si>
    <t>Product variant title</t>
  </si>
  <si>
    <t>Gross sales</t>
  </si>
  <si>
    <t>Discounts</t>
  </si>
  <si>
    <t>Returns</t>
  </si>
  <si>
    <t>Taxes</t>
  </si>
  <si>
    <t>Total sales</t>
  </si>
  <si>
    <t>Large / White</t>
  </si>
  <si>
    <t>Medium / Black</t>
  </si>
  <si>
    <t>X-Large / Black</t>
  </si>
  <si>
    <t>Medium / White</t>
  </si>
  <si>
    <t>Large / Black</t>
  </si>
  <si>
    <t>X-Large / White</t>
  </si>
  <si>
    <t>Large / Gray/Charcoal</t>
  </si>
  <si>
    <t>One Size Fits Most / White</t>
  </si>
  <si>
    <t>Large / White/Sweatshirt Gray</t>
  </si>
  <si>
    <t>XX-Large / White</t>
  </si>
  <si>
    <t>Wigwam Cool Lite Quarter Socks 2-Pack Grey Large</t>
  </si>
  <si>
    <t>B007WPNNLO</t>
  </si>
  <si>
    <t>Wigwam At Work Quarter 3-Pack S1360 Sock, Grey, X-Large</t>
  </si>
  <si>
    <t>Wigwam Merino Comfort Hiker F2322 Sock, Navy II - Large</t>
  </si>
  <si>
    <t>Wigwam CoolMax Liner 3 Pack P2805 Sock, White - Small</t>
  </si>
  <si>
    <t>B07MC9BHS8</t>
  </si>
  <si>
    <t>Wigwam Merino Comfort Hiker F2322 Sock, Navy II - X-Large</t>
  </si>
  <si>
    <t>B09F9BYG84</t>
  </si>
  <si>
    <t>Wigwam 625, P8768 2-Pack White Medium</t>
  </si>
  <si>
    <t>Wigwam Diabetic Sport Quarter Socks 2-Pack Black Large</t>
  </si>
  <si>
    <t>B000V5CYRQ</t>
  </si>
  <si>
    <t>Wigwam Thermax Cap II, Navy, One Size</t>
  </si>
  <si>
    <t>B00JWHLNBM</t>
  </si>
  <si>
    <t>B007NL47ZI</t>
  </si>
  <si>
    <t>Wigwam Diabetic Thermal Socks, Grey/Black - X-Large</t>
  </si>
  <si>
    <t>Wigwam Diabetic Sport Crew F1363 Sock, White - XX-Large</t>
  </si>
  <si>
    <t>B0FDGRWX4P</t>
  </si>
  <si>
    <t>B07FBLMCQ3</t>
  </si>
  <si>
    <t>Wigwam Merino Wool Comfort Hiker Socks, Black - X-Large</t>
  </si>
  <si>
    <t>B002JV819U</t>
  </si>
  <si>
    <t>B07HWX9GK2</t>
  </si>
  <si>
    <t>Wigwam 40 Below II Socks, Rose - Medium</t>
  </si>
  <si>
    <t>B0CN6VW16C</t>
  </si>
  <si>
    <t>Large / Navy</t>
  </si>
  <si>
    <t>Wigwam CoolMax Liner 3 Pack P2805 Sock, White - Large</t>
  </si>
  <si>
    <t>B000TFBO8S</t>
  </si>
  <si>
    <t>B0043U4G2G</t>
  </si>
  <si>
    <t>Wigwam Hiking Outdoor F6077 Sock, Navy/Pewter - Large</t>
  </si>
  <si>
    <t>Wigwam 1015 F4707 Cap, Navy - OS</t>
  </si>
  <si>
    <t>B00O3F7S5S</t>
  </si>
  <si>
    <t>Wigwam At Work Crew 3-Pack S1221 Sock, White/Sweatshirt Grey Lt - MD</t>
  </si>
  <si>
    <t>B00VZY2VM0</t>
  </si>
  <si>
    <t>Wigwam At Work Crew 3P Socks, Color: Grey, Size: Large</t>
  </si>
  <si>
    <t>B000TA529K</t>
  </si>
  <si>
    <t>B09MBV7G6K</t>
  </si>
  <si>
    <t>Wigwam Diabetic Sport Crew Socks 2-Pack White Large</t>
  </si>
  <si>
    <t>Wigwam Cool Lite Hiker Quarter Socks 3-Pack, Gray/Charcoal Medium</t>
  </si>
  <si>
    <t>Wigwam Cool Lite Hiker Quarter Socks 3-Pack, Gray/Charcoal X-Large</t>
  </si>
  <si>
    <t>B09N2FQL8S</t>
  </si>
  <si>
    <t>Wigwam Diabetic Sport Crew Socks 2-Pack Black X-Large</t>
  </si>
  <si>
    <t>B0BP22L9L6</t>
  </si>
  <si>
    <t>Wigwam Ultra Cool Lite Low 3 - Pack Caribbean - Medium</t>
  </si>
  <si>
    <t>Wigwam Merino Silk Hiker F2337 Sock, Black - XL</t>
  </si>
  <si>
    <t>B0CYW22LGX</t>
  </si>
  <si>
    <t>B0CYV5VHNX</t>
  </si>
  <si>
    <t>Wigwam Unisex The Game Keeper Boot Socks, Orange, Medium</t>
  </si>
  <si>
    <t>Wigwam King Cotton Crew F1055 Sock</t>
  </si>
  <si>
    <t>Wigwam Gobi Liner Socks, White - X-Large</t>
  </si>
  <si>
    <t>WIGF2153_52_blk_3</t>
  </si>
  <si>
    <t>B0DG3M86T3</t>
  </si>
  <si>
    <t>B0DG3JS58C</t>
  </si>
  <si>
    <t>Wigwam King Cotton High Socks 3-Pack, White - X-Large</t>
  </si>
  <si>
    <t>B0DG36NT7R</t>
  </si>
  <si>
    <t>Wigwam King Cotton Heavyweight Low Socks 3-Pack, White - Large</t>
  </si>
  <si>
    <t>Wigwam At Work Quarter 3-Pack S1360 Sock, Black - MD</t>
  </si>
  <si>
    <t>Wigwam At Work Quarter 3-Pack S1360 Sock, White/Sweatshirt Grey Lt. - MD</t>
  </si>
  <si>
    <t>B0DXFQK7ZQ</t>
  </si>
  <si>
    <t>S60 Quarter Sock - 6-Pack, White, XXL</t>
  </si>
  <si>
    <t>B07BRBQ5FP</t>
  </si>
  <si>
    <t>B000ARG1KQ</t>
  </si>
  <si>
    <t>Wigwam 7 Footer Athletic Socks, White, One Size</t>
  </si>
  <si>
    <t>ZZWIGF1019_051_wht_0M</t>
  </si>
  <si>
    <t>ZZWIGF2153_52_blk_3</t>
  </si>
  <si>
    <t>WIGP2801_002_blk_3</t>
  </si>
  <si>
    <t>x</t>
  </si>
  <si>
    <t>048323659437</t>
  </si>
  <si>
    <t>ZZWIGP2801_002_blk_3</t>
  </si>
  <si>
    <t>B000VQIU9G</t>
  </si>
  <si>
    <t>Wigwam Diabetic Sport Crew F1363 Sock, Black - Large</t>
  </si>
  <si>
    <t>Wigwam Men's 1017 Acrylic Watch Cap, Black, One Size</t>
  </si>
  <si>
    <t>B0CDZYS4P9</t>
  </si>
  <si>
    <t>Wigwam Unisex Thunder Low 3-Pack, Black, Large</t>
  </si>
  <si>
    <t>Wigwam Men's At Work 3-Pack Crew Socks, Black, Large</t>
  </si>
  <si>
    <t>Wigwam Men's At Work 3-Pack Crew Socks, Black, X-Large</t>
  </si>
  <si>
    <t>Wigwam Gobi Liner Socks, White - Large</t>
  </si>
  <si>
    <t>B000AREBGM</t>
  </si>
  <si>
    <t>Wigwam Men's Advantage Socks, White, X-Large</t>
  </si>
  <si>
    <t>B007WPNNBO</t>
  </si>
  <si>
    <t>B007WPNNJQ</t>
  </si>
  <si>
    <t>Wigwam Men's Super 60 Ouarter Black 3 Pack Socks,Black,Medium/shoe Size : Men's 5-9.5,Women's 6-10</t>
  </si>
  <si>
    <t>Wigwam Men's Super 60 Ouarter 3 Pack Socks, White, Large-X-Large: Men's 12-15</t>
  </si>
  <si>
    <t>ZZWIGS1168_051_wht_2M</t>
  </si>
  <si>
    <t>B00NF6Y5N4</t>
  </si>
  <si>
    <t>Medium / White/Black</t>
  </si>
  <si>
    <t>Fulfillable FBA</t>
  </si>
  <si>
    <t>Inbound FBA</t>
  </si>
  <si>
    <t>Processing FBA</t>
  </si>
  <si>
    <t>Large / Black/Gray</t>
  </si>
  <si>
    <t>X-Large / White/Sweatshirt Gray</t>
  </si>
  <si>
    <t>B000TA744G</t>
  </si>
  <si>
    <t>B0G91S9NC3</t>
  </si>
  <si>
    <t>B07RLTW4HG</t>
  </si>
  <si>
    <t>Wigwam Sirocco Midweight with Wool OTC Socks, Black - Medium</t>
  </si>
  <si>
    <t>B0CVK3TXVK</t>
  </si>
  <si>
    <t>Wigwam Unisex Merino Fjord Crew, Navy, Large</t>
  </si>
  <si>
    <t>B0CYTWNBLB</t>
  </si>
  <si>
    <t>Wigwam Unisex Merino Hiker Midweight Crew, Red, Large</t>
  </si>
  <si>
    <t>B002FBIGZ8</t>
  </si>
  <si>
    <t>Wigwam Thermax Cap II, Black, One Size</t>
  </si>
  <si>
    <t>B07MM2ZV5Y</t>
  </si>
  <si>
    <t>Wigwam Cool Lite Hiker Quarter Socks, Gray/Charcoal - X-Large</t>
  </si>
  <si>
    <t>B015CELS5E</t>
  </si>
  <si>
    <t>B09G6VL8P9</t>
  </si>
  <si>
    <t>Wigwam Merino Comfort Hiker Socks, 2-Pack, Unisex</t>
  </si>
  <si>
    <t>B0GKX2WQVX</t>
  </si>
  <si>
    <t>B000AREBGC</t>
  </si>
  <si>
    <t>WigWam King Cotton High Socks, Large, White</t>
  </si>
  <si>
    <t>B00898IGIS</t>
  </si>
  <si>
    <t>Wigwam 622 Classic Lightweight Acrylic Socks, White, XL</t>
  </si>
  <si>
    <t>B07FBKY9X2</t>
  </si>
  <si>
    <t>Wigwam Merino Woodland Socks, Loden - X-Large</t>
  </si>
  <si>
    <t>B0CYV5X4XS</t>
  </si>
  <si>
    <t>Wigwam Unisex Merino Hiker Midweight Crew, Brown, Large</t>
  </si>
  <si>
    <t>B0043U6EYO</t>
  </si>
  <si>
    <t>Wigwam Hiking Outdoor F6077 Sock, Navy/Pewter - Medium</t>
  </si>
  <si>
    <t>B0CVJT4B2N</t>
  </si>
  <si>
    <t>Wigwam Over the Top Socks, Black - X-Large</t>
  </si>
  <si>
    <t>B0DG3JLJTS</t>
  </si>
  <si>
    <t>B0CDZQB36Y</t>
  </si>
  <si>
    <t>Wigwam Unisex Thunder Low 3-Pack, White/Grey, Medium</t>
  </si>
  <si>
    <t>ZZWIGP2834_052_bla_2MM</t>
  </si>
  <si>
    <t>B0DXQ383LX</t>
  </si>
  <si>
    <t>B0DG3PH4Q1</t>
  </si>
  <si>
    <t>Wigwam 40 Below Thermal Boot Socks 3-Pack, Grey Twist - X-Large</t>
  </si>
  <si>
    <t>B0DG3L9XZ8</t>
  </si>
  <si>
    <t>Wigwam 40 Below Thermal Boot Socks 3-Pack, Black - X-Large</t>
  </si>
  <si>
    <t>B0DG3MHRCQ</t>
  </si>
  <si>
    <t>Wigwam Diabetic Walker Crew Socks 3-Pack, Black - Large</t>
  </si>
  <si>
    <t>B09F9BRFXR</t>
  </si>
  <si>
    <t>Wigwam Cool Lite Hiker Quarter Socks 3-Pack, Black/Gray Medium</t>
  </si>
  <si>
    <t>Wigwam Diabetic Sport Quarter Socks 2-Pack Black Medium</t>
  </si>
  <si>
    <t>B000BQUQYS</t>
  </si>
  <si>
    <t>Wigwam At Work Double Duty 2-Pack S1350 Grey - XL</t>
  </si>
  <si>
    <t>B01E066YJA</t>
  </si>
  <si>
    <t>Wigwam At Work Quarter 3-Pack S1360 Sock, Black - XL</t>
  </si>
  <si>
    <t>B07V9W531K</t>
  </si>
  <si>
    <t>Wigwam Merino Comfort Hiker Socks, 2-Pack, Unisex - LG</t>
  </si>
  <si>
    <t>B007WPNNGY</t>
  </si>
  <si>
    <t>Wigwam Super 60 Quarter 6 Pack S9014 Sock, White - Large</t>
  </si>
  <si>
    <t>GoBros</t>
  </si>
  <si>
    <t>Large / Gray</t>
  </si>
  <si>
    <t>X-Large / Gray/Charcoal</t>
  </si>
  <si>
    <t>Medium / Gray</t>
  </si>
  <si>
    <t>X-Large / Onyx</t>
  </si>
  <si>
    <t>Medium / White/Sweatshirt Gray</t>
  </si>
  <si>
    <t>B000ARISRU</t>
  </si>
  <si>
    <t>Wigwam Volley 3P Socks, Color: White, Size: XL (S1052-051-XL)</t>
  </si>
  <si>
    <t>B002ACB3PW</t>
  </si>
  <si>
    <t>Wigwam Merino Silk Hiker F2337 Sock, Black - LG</t>
  </si>
  <si>
    <t>Wigwam King Cotton Crew Heavyweight 3-Pack Socks, Grey - Large</t>
  </si>
  <si>
    <t>B00M9T5FJG</t>
  </si>
  <si>
    <t>Wigwam Gobi Liner Socks, Black, Large</t>
  </si>
  <si>
    <t>B087D7CWQY</t>
  </si>
  <si>
    <t>Wigwam King Cotton Crew Heavyweight 3-Pack Socks, White - Medium</t>
  </si>
  <si>
    <t>B007WPNNGE</t>
  </si>
  <si>
    <t>Wigwam Super 60 Quarter 6 Pack S9014 Sock, White - Medium</t>
  </si>
  <si>
    <t>Wigwam King Cotton Crew Heavyweight 3-Pack Socks, Black - Large</t>
  </si>
  <si>
    <t>B0CDZFZ6WG</t>
  </si>
  <si>
    <t>Wigwam Unisex Thunder Low 3-Pack, Black, Medium</t>
  </si>
  <si>
    <t>Wigwam Cool Lite Low Socks2-Pack White Medium</t>
  </si>
  <si>
    <t>Wigwam King Cotton Crew Heavyweight 3-Pack Socks, Grey - Medium</t>
  </si>
  <si>
    <t>B07X9FN7Y1</t>
  </si>
  <si>
    <t>B07W5Y72TB</t>
  </si>
  <si>
    <t>Wigwam Catalyst Ultra-Lightweight Low Cut Socks, Black - Large</t>
  </si>
  <si>
    <t>B0CVNHTTVH</t>
  </si>
  <si>
    <t>B0CVNF6FQY</t>
  </si>
  <si>
    <t>Wigwam Unisex Attain Lightweight T-Low 2-Pack White Large</t>
  </si>
  <si>
    <t>B0CVNF8DRB</t>
  </si>
  <si>
    <t>Wigwam Unisex Attain Lightweight T-Low 2-Pack Graphite Large</t>
  </si>
  <si>
    <t>B0CVNFWKHF</t>
  </si>
  <si>
    <t>Wigwam Unisex Attain Lightweight T-Low 2-Pack White Medium</t>
  </si>
  <si>
    <t>B0DG38F9W4</t>
  </si>
  <si>
    <t>Wigwam Diabetic Walker Crew Socks 3-Pack, White - X-Large</t>
  </si>
  <si>
    <t>B000ARB1WO</t>
  </si>
  <si>
    <t>Wigwam Coolmax Liner Socks, White - Large</t>
  </si>
  <si>
    <t>B0088V4SG0</t>
  </si>
  <si>
    <t>Wigwam Master F1061 Sock, White - 13</t>
  </si>
  <si>
    <t>B09N2D1ZCV</t>
  </si>
  <si>
    <t>Wigwam Diabetic Sport Quarter Socks 2-Pack White Medium</t>
  </si>
  <si>
    <t>B0CVNF78CV</t>
  </si>
  <si>
    <t>Wigwam Unisex Attain Lightweight T-Low 2-Pack Graphite Medium</t>
  </si>
  <si>
    <t>B0CVNFJCQR</t>
  </si>
  <si>
    <t>Wigwam Unisex Attain Lightweight T-Low 2-Pack Purple Medium</t>
  </si>
  <si>
    <t>ZZWIGP2834_052_bla_1Z</t>
  </si>
  <si>
    <t>GB/FBM (12.9 GB and Backorders)</t>
  </si>
  <si>
    <t>Medium / Gray Twist</t>
  </si>
  <si>
    <t>X-Large / Gray Twist</t>
  </si>
  <si>
    <t>Medium / Red Heather</t>
  </si>
  <si>
    <t>X-Large / Gray/Black</t>
  </si>
  <si>
    <t>X-Large / Light Gray Heather</t>
  </si>
  <si>
    <t>Medium / Sweatshirt Gray Lt</t>
  </si>
  <si>
    <t>Wigwam Volley 3-Pack Crew Socks</t>
  </si>
  <si>
    <t>X-Large / Gray</t>
  </si>
  <si>
    <t>B000AREBEO</t>
  </si>
  <si>
    <t>Wigwam 622 Classic Lightweight Acrylic Socks, White, MD</t>
  </si>
  <si>
    <t>B002PJAMWU</t>
  </si>
  <si>
    <t>Wigwam Merino Silk Hiker F2337 Sock, Black - MD</t>
  </si>
  <si>
    <t>B0CVJWKQVR</t>
  </si>
  <si>
    <t>Wigwam USA Merino Ultra Cool Lite Mid-Crew Socks, Grey - X-Large</t>
  </si>
  <si>
    <t>B0CVJT96ZZ</t>
  </si>
  <si>
    <t>Wigwam Over the Top Socks, Black - Large</t>
  </si>
  <si>
    <t>B087D6MGB7</t>
  </si>
  <si>
    <t>Wigwam Master 3 Pack P2803 Sock, White - 12</t>
  </si>
  <si>
    <t>B00NF6Y9LW</t>
  </si>
  <si>
    <t>B000TA1SJI</t>
  </si>
  <si>
    <t>Wigwam King Cotton Heavyweight Crew Socks, White - X-Large</t>
  </si>
  <si>
    <t>B000V6ECHA</t>
  </si>
  <si>
    <t>WigWam Diabetic Sport Quarter Socks, White, Md</t>
  </si>
  <si>
    <t>B000V1EOG4</t>
  </si>
  <si>
    <t>Wigwam El-Pine Crew Heavyweight Wool Socks, For Men and Women, Warm Rag Wool Outdoor Crew for Hunting &amp; Everyday Use, USA Made ? Red Heather/Medium</t>
  </si>
  <si>
    <t>B0G92XKJZZ</t>
  </si>
  <si>
    <t>B003WY6YNS</t>
  </si>
  <si>
    <t>Wigwam Ironman Thunder Pro Low-Cut Socks, White - Medium</t>
  </si>
  <si>
    <t>B072WZ2F3V</t>
  </si>
  <si>
    <t>B07MC9BQJR</t>
  </si>
  <si>
    <t>Wigwam Cool Lite Hiker Quarter Socks, Black/Gray - Medium</t>
  </si>
  <si>
    <t>B0BP225SP8</t>
  </si>
  <si>
    <t>Wigwam® Ultra Cool-Lite Low Socks for Men and Women - X20® Fabric – Heel Cushioning – Seamless Toe Onyx XL (US Men's Shoe 12-15) One Size</t>
  </si>
  <si>
    <t>B0BP234JC3</t>
  </si>
  <si>
    <t>Wigwam Ultra Cool Lite Quarter Socks 3-pack Onyx - Medium</t>
  </si>
  <si>
    <t>B0DG392ZRN</t>
  </si>
  <si>
    <t>Wigwam King Cotton High Socks 3-Pack, White - Large</t>
  </si>
  <si>
    <t>B007WPNNMS</t>
  </si>
  <si>
    <t>Wigwam Super 60 Crew 3 Pack S1077 Sock, White - MD</t>
  </si>
  <si>
    <t>B0019OTSH2</t>
  </si>
  <si>
    <t>WigWam Volley Athletic Socks, White, Md</t>
  </si>
  <si>
    <t>B000G7Y0AS</t>
  </si>
  <si>
    <t>WigWam Volley Athletic Socks, Black, Lg</t>
  </si>
  <si>
    <t>B000V5EE56</t>
  </si>
  <si>
    <t>WigWam Volley Athletic Socks, Black, Xl</t>
  </si>
  <si>
    <t>B004QJOC00</t>
  </si>
  <si>
    <t>WigWam Men's King Crew Athletic Socks, X-Large Sock , Black</t>
  </si>
  <si>
    <t>B07CPGJV5L</t>
  </si>
  <si>
    <t>B000FCILZE</t>
  </si>
  <si>
    <t>Wigwam At Work Steel Toe Crew Socks, White/Black - Medium</t>
  </si>
  <si>
    <t>B09C6RG3TW</t>
  </si>
  <si>
    <t>B000KPHTWW</t>
  </si>
  <si>
    <t>Wigwam Men's Diabetic Walker Crew Length Sock,White,XL/shoe Size: Men's 12-15</t>
  </si>
  <si>
    <t>B001RJRQXC</t>
  </si>
  <si>
    <t>Wigwam Diabetic Walker Crew Socks, Black - X-Large</t>
  </si>
  <si>
    <t>B000VQIU96</t>
  </si>
  <si>
    <t>Wigwam Diabetic Sport Crew F1363 Sock, Black - Medium</t>
  </si>
  <si>
    <t>B000J4B6XM</t>
  </si>
  <si>
    <t>Wigwam Coolmax Liner F2161 Sock, White - X-Large</t>
  </si>
  <si>
    <t>B000ARG1J2</t>
  </si>
  <si>
    <t>Wigwam 40 Below Sock F2230 Sock, Grey Twist - XL</t>
  </si>
  <si>
    <t>B001A42H5G</t>
  </si>
  <si>
    <t>Wigwam Merino Silk Hiker F2337 Sock, Charcoal - XL</t>
  </si>
  <si>
    <t>B0CYVDTTMT</t>
  </si>
  <si>
    <t>Wigwam Unisex Merino Hiker Midweight Crew, Red, X-Large</t>
  </si>
  <si>
    <t>B0006U04NW</t>
  </si>
  <si>
    <t>Wigwam Cool-Lite Pro Crew Socks, Black, Sock Size:10-13/Shoe Size: 6-12 (Men 9-12, Women 10-13)</t>
  </si>
  <si>
    <t>B07MSGX725</t>
  </si>
  <si>
    <t>Wigwam Cool Lite Hiker Quarter Socks, Black/Gray - X-Large</t>
  </si>
  <si>
    <t>B0GZSGCTNG</t>
  </si>
  <si>
    <t>B0GTBG9VTL</t>
  </si>
  <si>
    <t>B0GTBKBXSR</t>
  </si>
  <si>
    <t>Wigwam Cool-Lite Hiker Crew Midweight 2-Pack Socks (US, Alpha, Large, Regular, Regular, Grey/Charcoal)</t>
  </si>
  <si>
    <t>B007WPNNHS</t>
  </si>
  <si>
    <t>Wigwam Super 60 Low-Cut 3-Pack S1042 Sock, White - Medium</t>
  </si>
  <si>
    <t>B007WPNNIW</t>
  </si>
  <si>
    <t>Wigwam Super 60 Low-Cut 3-Pack S1042 Sock, Black - Medium</t>
  </si>
  <si>
    <t>B007WPNNNW</t>
  </si>
  <si>
    <t>Wigwam Super 60 Crew 3 Pack S1077 Sock, Black - MD</t>
  </si>
  <si>
    <t>B007WPNNJ6</t>
  </si>
  <si>
    <t>Wigwam Men's Super 60 Ouarter Black 3 Pack Socks,Black,Large /shoe Size:Men's 9-12,Women's 10-13</t>
  </si>
  <si>
    <t>Wigwam Men's at Work DuraSole 2-Pack Crew Length Work Socks, White/Grey, X-Large</t>
  </si>
  <si>
    <t>B0042VWZWY</t>
  </si>
  <si>
    <t>Wigwam Master F1061 Sock, White - 12</t>
  </si>
  <si>
    <t>B0088V80IC</t>
  </si>
  <si>
    <t>Wigwam 622 Classic Lightweight Acrylic Socks, White, LG</t>
  </si>
  <si>
    <t>B0088V86PE</t>
  </si>
  <si>
    <t>Wigwam 622 Classic Lightweight Acrylic Socks, Black, MD</t>
  </si>
  <si>
    <t>B079YW55JH</t>
  </si>
  <si>
    <t>Wigwam 40 Below II Socks, Black - Medium</t>
  </si>
  <si>
    <t>B07HX7D1CX</t>
  </si>
  <si>
    <t>Wigwam 40 Below II Socks, Navy - Medium</t>
  </si>
  <si>
    <t>B00FRIIOHQ</t>
  </si>
  <si>
    <t>B0006U3G5A</t>
  </si>
  <si>
    <t>Wigwam 40 Below Sock F2230 Sock, Grey Twist - MD</t>
  </si>
  <si>
    <t>B0CX6LMRJ7</t>
  </si>
  <si>
    <t>B0CVNF1F2X</t>
  </si>
  <si>
    <t>Wigwam Unisex Merino Lite Hiker Crew Grey Heather Medium</t>
  </si>
  <si>
    <t>B07MSGD6ZW</t>
  </si>
  <si>
    <t>Wigwam Merino Lite Hiker Socks, Oxford - Medium</t>
  </si>
  <si>
    <t>B07M7LDG9N</t>
  </si>
  <si>
    <t>Wigwam Merino Comfort Hiker F2322 Sock, Charcoal II - X-Large</t>
  </si>
  <si>
    <t>B001A40BTA</t>
  </si>
  <si>
    <t>Wigwam Merino Silk Hiker F2337 Sock, Charcoal - LG</t>
  </si>
  <si>
    <t>B0CVJX2XWR</t>
  </si>
  <si>
    <t>Wigwam USA Merino Ultra Cool Lite Mid-Crew Socks, Grey - Small</t>
  </si>
  <si>
    <t>B0CVK6ZVJV</t>
  </si>
  <si>
    <t>Wigwam USA Merino Ultra Cool Lite Mid-Crew Socks, Grey - Large</t>
  </si>
  <si>
    <t>B0CYVG89B4</t>
  </si>
  <si>
    <t>B0CYV7QFBR</t>
  </si>
  <si>
    <t>Wigwam Unisex Merino Fjord Crew, Pink/Purple, Large</t>
  </si>
  <si>
    <t>B0CVK4BXCR</t>
  </si>
  <si>
    <t>Wigwam Unisex Merino Fjord Crew, Grey, X-Large</t>
  </si>
  <si>
    <t>B0CVJSF7S4</t>
  </si>
  <si>
    <t>Wigwam Unisex Merino Fjord Crew, Navy, Medium</t>
  </si>
  <si>
    <t>B087D5ZDGG</t>
  </si>
  <si>
    <t>Wigwam King Cotton Crew Heavyweight 3-Pack Socks, White - Large</t>
  </si>
  <si>
    <t>B087D5N4PL</t>
  </si>
  <si>
    <t>Wigwam King Cotton Crew Heavyweight 3-Pack Socks, White - X-Large</t>
  </si>
  <si>
    <t>B0CDZCSGBZ</t>
  </si>
  <si>
    <t>Wigwam Unisex Thunder Low 3-Pack, White/Grey, Large</t>
  </si>
  <si>
    <t>B0CDZWCKD8</t>
  </si>
  <si>
    <t>Wigwam Unisex Thunder Low 3-Pack, White/Grey, X-Large</t>
  </si>
  <si>
    <t>B0DG3VFTR4</t>
  </si>
  <si>
    <t>Wigwam 40 Below Thermal Boot Socks 3-Pack, Grey Twist - Large</t>
  </si>
  <si>
    <t>B0DG3M859K</t>
  </si>
  <si>
    <t>Wigwam Diabetic Walker Crew Socks 3-Pack, White - Medium</t>
  </si>
  <si>
    <t>B0DG3TRS7W</t>
  </si>
  <si>
    <t>Wigwam Diabetic Walker Crew Socks 3-Pack, White - Large</t>
  </si>
  <si>
    <t>Wigwam Cool Lite Low Socks 2-Pack White Large</t>
  </si>
  <si>
    <t>B007WPNNNC</t>
  </si>
  <si>
    <t>Wigwam Super 60 Crew 3 Pack S1077 Sock, Black - LG</t>
  </si>
  <si>
    <t>B007WPNNL4</t>
  </si>
  <si>
    <t>Wigwam Men's Super 60 Ouarter 3 Pack Socks,White,Large/shoe Size:Men's 9-12,Women's 10-13</t>
  </si>
  <si>
    <t>B07G798XD9</t>
  </si>
  <si>
    <t>Wigwam Super 60 Quarter 3-Pack S1168 Grey - X-Large</t>
  </si>
  <si>
    <t>B0CDYY4NPN</t>
  </si>
  <si>
    <t>Wigwam At Work All-Day Crew Socks 3-Pack S1223 White - X-Large</t>
  </si>
  <si>
    <t>B000MQTPCQ</t>
  </si>
  <si>
    <t>Wigwam At Work Durasole Pro 2-Pack S1349 Sock, White/Grey - MD</t>
  </si>
  <si>
    <t>B009YDOE0Q</t>
  </si>
  <si>
    <t>B0089NM9RC</t>
  </si>
  <si>
    <t>Wigwam S9012 Super 60 6-Pack Tube Sock, White - One Size</t>
  </si>
  <si>
    <t>Medium / Black/Gray</t>
  </si>
  <si>
    <t>Medium / Onyx</t>
  </si>
  <si>
    <t>Large / Onyx</t>
  </si>
  <si>
    <t>Large / Oxford</t>
  </si>
  <si>
    <t>Medium / White/Gray</t>
  </si>
  <si>
    <t>Large / Caribbean</t>
  </si>
  <si>
    <t>Wigwam Over the Top Over-the-Calf Lightweight Socks</t>
  </si>
  <si>
    <t>Large / Tranquil Teal</t>
  </si>
  <si>
    <t>Large / Charcoal II</t>
  </si>
  <si>
    <t>Large / Black II</t>
  </si>
  <si>
    <t>Medium / Oxford</t>
  </si>
  <si>
    <t>One Size Fits Most / Blaze Orange</t>
  </si>
  <si>
    <t>FBA 5.14ZZ, Backorders, Listing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</si>
</sst>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00000000000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4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00000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9" applyNumberFormat="0" applyAlignment="0" applyProtection="0"/>
    <xf numFmtId="0" fontId="17" fillId="15" borderId="10" applyNumberFormat="0" applyAlignment="0" applyProtection="0"/>
    <xf numFmtId="0" fontId="18" fillId="15" borderId="9" applyNumberFormat="0" applyAlignment="0" applyProtection="0"/>
    <xf numFmtId="0" fontId="19" fillId="0" borderId="11" applyNumberFormat="0" applyFill="0" applyAlignment="0" applyProtection="0"/>
    <xf numFmtId="0" fontId="20" fillId="16" borderId="12" applyNumberFormat="0" applyAlignment="0" applyProtection="0"/>
    <xf numFmtId="0" fontId="21" fillId="0" borderId="0" applyNumberFormat="0" applyFill="0" applyBorder="0" applyAlignment="0" applyProtection="0"/>
    <xf numFmtId="0" fontId="1" fillId="17" borderId="13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14" applyNumberFormat="0" applyFill="0" applyAlignment="0" applyProtection="0"/>
    <xf numFmtId="0" fontId="23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3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3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3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3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3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</cellStyleXfs>
  <cellXfs count="121">
    <xf numFmtId="0" fontId="0" fillId="0" borderId="0" xfId="0"/>
    <xf numFmtId="0" fontId="2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4" fillId="7" borderId="5" xfId="0" applyFont="1" applyFill="1" applyBorder="1" applyAlignment="1">
      <alignment horizontal="center" vertical="center" wrapText="1"/>
    </xf>
    <xf numFmtId="164" fontId="4" fillId="8" borderId="5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/>
    <xf numFmtId="0" fontId="5" fillId="9" borderId="2" xfId="0" applyFont="1" applyFill="1" applyBorder="1"/>
    <xf numFmtId="0" fontId="0" fillId="0" borderId="5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9" borderId="0" xfId="0" applyFill="1"/>
    <xf numFmtId="164" fontId="0" fillId="0" borderId="5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7" borderId="0" xfId="0" applyFill="1" applyAlignment="1">
      <alignment horizontal="center" vertical="center"/>
    </xf>
    <xf numFmtId="44" fontId="0" fillId="7" borderId="0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4" fontId="6" fillId="6" borderId="5" xfId="1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164" fontId="4" fillId="5" borderId="5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4" fontId="4" fillId="4" borderId="5" xfId="1" applyFont="1" applyFill="1" applyBorder="1" applyAlignment="1">
      <alignment horizontal="center" vertical="center" wrapText="1"/>
    </xf>
    <xf numFmtId="164" fontId="7" fillId="10" borderId="5" xfId="0" applyNumberFormat="1" applyFont="1" applyFill="1" applyBorder="1" applyAlignment="1">
      <alignment horizontal="center" vertical="center" wrapText="1"/>
    </xf>
    <xf numFmtId="164" fontId="7" fillId="4" borderId="5" xfId="0" applyNumberFormat="1" applyFont="1" applyFill="1" applyBorder="1" applyAlignment="1">
      <alignment horizontal="center" vertical="center" wrapText="1"/>
    </xf>
    <xf numFmtId="44" fontId="8" fillId="6" borderId="5" xfId="1" applyFont="1" applyFill="1" applyBorder="1" applyAlignment="1">
      <alignment horizontal="center" vertical="center" wrapText="1"/>
    </xf>
    <xf numFmtId="10" fontId="0" fillId="0" borderId="0" xfId="0" applyNumberFormat="1"/>
    <xf numFmtId="8" fontId="0" fillId="0" borderId="0" xfId="0" applyNumberFormat="1"/>
    <xf numFmtId="164" fontId="4" fillId="10" borderId="5" xfId="1" applyNumberFormat="1" applyFont="1" applyFill="1" applyBorder="1" applyAlignment="1">
      <alignment horizontal="center" vertical="center" wrapText="1"/>
    </xf>
    <xf numFmtId="164" fontId="0" fillId="7" borderId="0" xfId="1" applyNumberFormat="1" applyFont="1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0" fontId="7" fillId="10" borderId="5" xfId="0" applyNumberFormat="1" applyFont="1" applyFill="1" applyBorder="1" applyAlignment="1">
      <alignment horizontal="center" vertical="center" wrapText="1"/>
    </xf>
    <xf numFmtId="10" fontId="0" fillId="7" borderId="0" xfId="1" applyNumberFormat="1" applyFont="1" applyFill="1" applyAlignment="1">
      <alignment horizontal="center" vertical="center"/>
    </xf>
    <xf numFmtId="10" fontId="2" fillId="3" borderId="3" xfId="0" applyNumberFormat="1" applyFont="1" applyFill="1" applyBorder="1" applyAlignment="1">
      <alignment horizontal="center" vertical="center"/>
    </xf>
    <xf numFmtId="10" fontId="7" fillId="4" borderId="5" xfId="0" applyNumberFormat="1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64" fontId="4" fillId="7" borderId="5" xfId="1" applyNumberFormat="1" applyFont="1" applyFill="1" applyBorder="1" applyAlignment="1">
      <alignment horizontal="center" vertical="center" wrapText="1"/>
    </xf>
    <xf numFmtId="164" fontId="0" fillId="0" borderId="5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49" fontId="24" fillId="0" borderId="5" xfId="0" applyNumberFormat="1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24" fillId="0" borderId="5" xfId="0" applyFont="1" applyBorder="1" applyAlignment="1">
      <alignment horizontal="center"/>
    </xf>
    <xf numFmtId="165" fontId="0" fillId="0" borderId="5" xfId="0" applyNumberFormat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 wrapText="1"/>
    </xf>
    <xf numFmtId="14" fontId="4" fillId="7" borderId="15" xfId="0" applyNumberFormat="1" applyFont="1" applyFill="1" applyBorder="1" applyAlignment="1">
      <alignment horizontal="center" vertical="center" wrapText="1"/>
    </xf>
    <xf numFmtId="1" fontId="4" fillId="7" borderId="15" xfId="0" applyNumberFormat="1" applyFont="1" applyFill="1" applyBorder="1" applyAlignment="1">
      <alignment horizontal="center" vertical="center" wrapText="1"/>
    </xf>
    <xf numFmtId="164" fontId="4" fillId="7" borderId="15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49" fontId="24" fillId="0" borderId="15" xfId="0" applyNumberFormat="1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0" fillId="0" borderId="15" xfId="0" applyNumberFormat="1" applyBorder="1" applyAlignment="1">
      <alignment horizontal="center"/>
    </xf>
    <xf numFmtId="164" fontId="1" fillId="0" borderId="15" xfId="0" applyNumberFormat="1" applyFon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/>
    </xf>
    <xf numFmtId="164" fontId="0" fillId="0" borderId="15" xfId="1" applyNumberFormat="1" applyFont="1" applyFill="1" applyBorder="1" applyAlignment="1">
      <alignment horizontal="center" vertical="center"/>
    </xf>
    <xf numFmtId="0" fontId="0" fillId="0" borderId="15" xfId="1" applyNumberFormat="1" applyFont="1" applyFill="1" applyBorder="1" applyAlignment="1">
      <alignment horizontal="center" vertical="center"/>
    </xf>
    <xf numFmtId="164" fontId="0" fillId="7" borderId="5" xfId="0" applyNumberFormat="1" applyFill="1" applyBorder="1" applyAlignment="1">
      <alignment horizontal="center" vertical="center"/>
    </xf>
    <xf numFmtId="0" fontId="0" fillId="9" borderId="5" xfId="0" applyFill="1" applyBorder="1"/>
    <xf numFmtId="164" fontId="0" fillId="7" borderId="5" xfId="1" applyNumberFormat="1" applyFont="1" applyFill="1" applyBorder="1" applyAlignment="1">
      <alignment horizontal="center" vertical="center"/>
    </xf>
    <xf numFmtId="44" fontId="0" fillId="7" borderId="5" xfId="1" applyFont="1" applyFill="1" applyBorder="1" applyAlignment="1">
      <alignment horizontal="center" vertical="center"/>
    </xf>
    <xf numFmtId="10" fontId="0" fillId="7" borderId="5" xfId="1" applyNumberFormat="1" applyFont="1" applyFill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44" fontId="0" fillId="0" borderId="5" xfId="1" applyFont="1" applyBorder="1" applyAlignment="1">
      <alignment horizontal="center" vertical="center"/>
    </xf>
    <xf numFmtId="0" fontId="0" fillId="0" borderId="5" xfId="0" applyBorder="1"/>
    <xf numFmtId="0" fontId="0" fillId="0" borderId="16" xfId="0" applyBorder="1" applyAlignment="1">
      <alignment horizontal="center" vertical="center"/>
    </xf>
    <xf numFmtId="0" fontId="25" fillId="0" borderId="5" xfId="0" applyFont="1" applyBorder="1" applyAlignment="1">
      <alignment horizontal="center"/>
    </xf>
    <xf numFmtId="1" fontId="25" fillId="0" borderId="5" xfId="0" applyNumberFormat="1" applyFont="1" applyBorder="1" applyAlignment="1">
      <alignment horizontal="center"/>
    </xf>
    <xf numFmtId="164" fontId="25" fillId="0" borderId="5" xfId="0" applyNumberFormat="1" applyFont="1" applyBorder="1" applyAlignment="1">
      <alignment horizontal="center"/>
    </xf>
    <xf numFmtId="10" fontId="25" fillId="0" borderId="5" xfId="0" applyNumberFormat="1" applyFont="1" applyBorder="1" applyAlignment="1">
      <alignment horizontal="center" vertical="center"/>
    </xf>
    <xf numFmtId="0" fontId="25" fillId="9" borderId="5" xfId="0" applyFont="1" applyFill="1" applyBorder="1"/>
    <xf numFmtId="0" fontId="25" fillId="0" borderId="5" xfId="0" applyFont="1" applyBorder="1"/>
    <xf numFmtId="0" fontId="0" fillId="0" borderId="16" xfId="0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2" fillId="0" borderId="16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 vertical="center"/>
    </xf>
    <xf numFmtId="10" fontId="2" fillId="0" borderId="16" xfId="1" applyNumberFormat="1" applyFont="1" applyFill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3" fontId="0" fillId="0" borderId="5" xfId="0" applyNumberFormat="1" applyBorder="1" applyAlignment="1">
      <alignment horizontal="center"/>
    </xf>
    <xf numFmtId="10" fontId="25" fillId="7" borderId="0" xfId="1" applyNumberFormat="1" applyFont="1" applyFill="1" applyAlignment="1">
      <alignment horizontal="center" vertical="center"/>
    </xf>
    <xf numFmtId="14" fontId="25" fillId="0" borderId="5" xfId="0" applyNumberFormat="1" applyFont="1" applyBorder="1" applyAlignment="1">
      <alignment horizontal="center"/>
    </xf>
    <xf numFmtId="0" fontId="25" fillId="0" borderId="5" xfId="0" applyFont="1" applyBorder="1" applyAlignment="1">
      <alignment horizontal="center" vertical="center"/>
    </xf>
    <xf numFmtId="3" fontId="25" fillId="0" borderId="5" xfId="0" applyNumberFormat="1" applyFont="1" applyBorder="1" applyAlignment="1">
      <alignment horizontal="center" vertical="center"/>
    </xf>
    <xf numFmtId="164" fontId="25" fillId="0" borderId="5" xfId="0" applyNumberFormat="1" applyFont="1" applyBorder="1" applyAlignment="1">
      <alignment horizontal="center" vertical="center"/>
    </xf>
    <xf numFmtId="10" fontId="25" fillId="0" borderId="5" xfId="1" applyNumberFormat="1" applyFont="1" applyFill="1" applyBorder="1" applyAlignment="1">
      <alignment horizontal="center" vertical="center"/>
    </xf>
    <xf numFmtId="1" fontId="25" fillId="0" borderId="5" xfId="0" applyNumberFormat="1" applyFont="1" applyBorder="1" applyAlignment="1">
      <alignment horizontal="center" vertical="center"/>
    </xf>
    <xf numFmtId="0" fontId="0" fillId="9" borderId="3" xfId="0" applyFill="1" applyBorder="1"/>
    <xf numFmtId="0" fontId="2" fillId="9" borderId="0" xfId="0" applyFont="1" applyFill="1"/>
    <xf numFmtId="0" fontId="2" fillId="9" borderId="16" xfId="0" applyFont="1" applyFill="1" applyBorder="1"/>
    <xf numFmtId="0" fontId="5" fillId="9" borderId="5" xfId="0" applyFont="1" applyFill="1" applyBorder="1"/>
    <xf numFmtId="49" fontId="20" fillId="42" borderId="5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/>
    </xf>
    <xf numFmtId="49" fontId="24" fillId="43" borderId="5" xfId="0" applyNumberFormat="1" applyFont="1" applyFill="1" applyBorder="1" applyAlignment="1">
      <alignment horizontal="center" vertical="center"/>
    </xf>
    <xf numFmtId="165" fontId="24" fillId="0" borderId="5" xfId="0" applyNumberFormat="1" applyFont="1" applyBorder="1" applyAlignment="1">
      <alignment horizontal="center" vertical="center"/>
    </xf>
    <xf numFmtId="165" fontId="24" fillId="44" borderId="5" xfId="0" applyNumberFormat="1" applyFont="1" applyFill="1" applyBorder="1" applyAlignment="1">
      <alignment horizontal="center" vertical="center"/>
    </xf>
    <xf numFmtId="49" fontId="24" fillId="44" borderId="5" xfId="0" applyNumberFormat="1" applyFont="1" applyFill="1" applyBorder="1" applyAlignment="1">
      <alignment horizontal="center" vertical="center"/>
    </xf>
    <xf numFmtId="0" fontId="26" fillId="0" borderId="5" xfId="0" applyFont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7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externalLinkPath" Target="WORKING%20COPY%20Wigwam%20Analytics%201.1-1.31.2026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4AAF6-BF9A-4FA2-BBF6-5584F8F4100C}">
  <dimension ref="A1:AM470"/>
  <sheetViews>
    <sheetView tabSelected="1" zoomScale="94" zoomScaleNormal="94" workbookViewId="0">
      <pane ySplit="2" topLeftCell="A425" activePane="bottomLeft" state="frozen"/>
      <selection pane="bottomLeft" activeCell="R449" sqref="R449"/>
    </sheetView>
  </sheetViews>
  <sheetFormatPr baseColWidth="10" defaultColWidth="8.83203125" defaultRowHeight="15" x14ac:dyDescent="0.2"/>
  <cols>
    <col min="1" max="2" width="14" style="14" bestFit="1" customWidth="1"/>
    <col min="3" max="3" width="19.33203125" style="107" hidden="1" customWidth="1"/>
    <col min="4" max="4" width="18.6640625" style="15" customWidth="1"/>
    <col min="5" max="5" width="26.5" style="14" customWidth="1"/>
    <col min="6" max="6" width="26" style="14" customWidth="1"/>
    <col min="7" max="7" width="15.5" style="14" hidden="1" customWidth="1"/>
    <col min="8" max="8" width="18.5" style="14" hidden="1" customWidth="1"/>
    <col min="9" max="9" width="10.83203125" style="14" customWidth="1"/>
    <col min="10" max="10" width="50.83203125" style="14" bestFit="1" customWidth="1"/>
    <col min="11" max="11" width="15.33203125" style="14" customWidth="1"/>
    <col min="12" max="12" width="12.6640625" style="14" customWidth="1"/>
    <col min="13" max="13" width="15.6640625" style="8" hidden="1" customWidth="1"/>
    <col min="14" max="14" width="14.1640625" style="8" hidden="1" customWidth="1"/>
    <col min="15" max="15" width="14.5" style="8" customWidth="1"/>
    <col min="16" max="16" width="12.6640625" style="8" hidden="1" customWidth="1"/>
    <col min="17" max="17" width="3.6640625" style="10" customWidth="1"/>
    <col min="18" max="18" width="11.5" style="16" customWidth="1"/>
    <col min="19" max="19" width="11.83203125" style="34" customWidth="1"/>
    <col min="20" max="20" width="3.6640625" style="10" customWidth="1"/>
    <col min="21" max="21" width="11.5" style="16" customWidth="1"/>
    <col min="22" max="22" width="20" style="33" bestFit="1" customWidth="1"/>
    <col min="23" max="23" width="11" style="17" bestFit="1" customWidth="1"/>
    <col min="24" max="24" width="12.1640625" style="36" customWidth="1"/>
    <col min="25" max="25" width="3.5" style="10" customWidth="1"/>
    <col min="26" max="26" width="11.5" style="16" customWidth="1"/>
    <col min="27" max="27" width="11.83203125" style="17" customWidth="1"/>
    <col min="28" max="28" width="10.5" style="17" customWidth="1"/>
    <col min="29" max="29" width="11.5" style="36" customWidth="1"/>
    <col min="30" max="30" width="3.1640625" style="10" customWidth="1"/>
    <col min="31" max="32" width="15.83203125" style="18" customWidth="1"/>
    <col min="33" max="33" width="17.6640625" style="18" customWidth="1"/>
    <col min="34" max="34" width="16.5" style="18" customWidth="1"/>
    <col min="35" max="35" width="16.6640625" style="18" customWidth="1"/>
    <col min="36" max="36" width="17.6640625" style="18" customWidth="1"/>
    <col min="37" max="37" width="16.83203125" style="46" bestFit="1" customWidth="1"/>
    <col min="38" max="38" width="21.1640625" style="19" customWidth="1"/>
    <col min="39" max="39" width="18.5" style="19" customWidth="1"/>
  </cols>
  <sheetData>
    <row r="1" spans="1:39" ht="22.25" customHeight="1" x14ac:dyDescent="0.2">
      <c r="A1" s="113" t="s">
        <v>0</v>
      </c>
      <c r="B1" s="114"/>
      <c r="C1" s="114"/>
      <c r="D1" s="114"/>
      <c r="E1" s="114"/>
      <c r="F1" s="114"/>
      <c r="G1" s="115"/>
      <c r="H1" s="115"/>
      <c r="I1" s="115"/>
      <c r="J1" s="115"/>
      <c r="K1" s="115"/>
      <c r="L1" s="115"/>
      <c r="M1" s="115"/>
      <c r="N1" s="115"/>
      <c r="O1" s="116"/>
      <c r="P1" s="1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20"/>
      <c r="AC1" s="37"/>
      <c r="AD1" s="102"/>
      <c r="AE1" s="118"/>
      <c r="AF1" s="118"/>
      <c r="AG1" s="118"/>
      <c r="AH1" s="118"/>
      <c r="AI1" s="118"/>
      <c r="AJ1" s="118"/>
      <c r="AK1" s="119"/>
      <c r="AL1" s="2" t="s">
        <v>1</v>
      </c>
      <c r="AM1" s="2" t="s">
        <v>1</v>
      </c>
    </row>
    <row r="2" spans="1:39" ht="107.5" customHeight="1" x14ac:dyDescent="0.25">
      <c r="A2" s="53" t="s">
        <v>2</v>
      </c>
      <c r="B2" s="54" t="s">
        <v>3</v>
      </c>
      <c r="C2" s="106"/>
      <c r="D2" s="55" t="s">
        <v>4</v>
      </c>
      <c r="E2" s="54" t="s">
        <v>5</v>
      </c>
      <c r="F2" s="54" t="s">
        <v>6</v>
      </c>
      <c r="G2" s="54" t="s">
        <v>7</v>
      </c>
      <c r="H2" s="54" t="s">
        <v>8</v>
      </c>
      <c r="I2" s="54" t="s">
        <v>9</v>
      </c>
      <c r="J2" s="56" t="s">
        <v>10</v>
      </c>
      <c r="K2" s="53" t="s">
        <v>11</v>
      </c>
      <c r="L2" s="56" t="s">
        <v>12</v>
      </c>
      <c r="M2" s="56" t="s">
        <v>1088</v>
      </c>
      <c r="N2" s="56" t="s">
        <v>972</v>
      </c>
      <c r="O2" s="56" t="s">
        <v>1087</v>
      </c>
      <c r="P2" s="4" t="s">
        <v>973</v>
      </c>
      <c r="Q2" s="105"/>
      <c r="R2" s="23" t="s">
        <v>13</v>
      </c>
      <c r="S2" s="24" t="s">
        <v>14</v>
      </c>
      <c r="T2" s="5"/>
      <c r="U2" s="22" t="s">
        <v>15</v>
      </c>
      <c r="V2" s="32" t="s">
        <v>16</v>
      </c>
      <c r="W2" s="27" t="s">
        <v>974</v>
      </c>
      <c r="X2" s="35" t="s">
        <v>1089</v>
      </c>
      <c r="Y2" s="6"/>
      <c r="Z2" s="25" t="s">
        <v>17</v>
      </c>
      <c r="AA2" s="26" t="s">
        <v>18</v>
      </c>
      <c r="AB2" s="28" t="s">
        <v>974</v>
      </c>
      <c r="AC2" s="38" t="s">
        <v>1089</v>
      </c>
      <c r="AD2" s="6"/>
      <c r="AE2" s="3" t="s">
        <v>19</v>
      </c>
      <c r="AF2" s="3" t="s">
        <v>2027</v>
      </c>
      <c r="AG2" s="3" t="s">
        <v>2028</v>
      </c>
      <c r="AH2" s="3" t="s">
        <v>2029</v>
      </c>
      <c r="AI2" s="3" t="s">
        <v>1209</v>
      </c>
      <c r="AJ2" s="3" t="s">
        <v>1104</v>
      </c>
      <c r="AK2" s="44" t="s">
        <v>20</v>
      </c>
      <c r="AL2" s="29" t="s">
        <v>2283</v>
      </c>
      <c r="AM2" s="21" t="s">
        <v>2127</v>
      </c>
    </row>
    <row r="3" spans="1:39" x14ac:dyDescent="0.2">
      <c r="A3" s="57" t="s">
        <v>2082</v>
      </c>
      <c r="B3" s="47">
        <v>46173</v>
      </c>
      <c r="C3" s="48"/>
      <c r="D3" s="48" t="s">
        <v>1210</v>
      </c>
      <c r="E3" s="49" t="s">
        <v>21</v>
      </c>
      <c r="F3" s="49" t="s">
        <v>2004</v>
      </c>
      <c r="G3" s="47" t="e">
        <v>#N/A</v>
      </c>
      <c r="H3" s="47" t="s">
        <v>22</v>
      </c>
      <c r="I3" s="40" t="s">
        <v>23</v>
      </c>
      <c r="J3" s="40" t="s">
        <v>1666</v>
      </c>
      <c r="K3" s="9" t="s">
        <v>24</v>
      </c>
      <c r="L3" s="40" t="s">
        <v>25</v>
      </c>
      <c r="M3" s="11"/>
      <c r="N3" s="11"/>
      <c r="O3" s="50">
        <v>6.48</v>
      </c>
      <c r="R3" s="9">
        <f>IFERROR(VLOOKUP(E3,Sheet6!$A$2:$B$500,2,FALSE),0)</f>
        <v>7</v>
      </c>
      <c r="S3" s="41">
        <f>IFERROR(VLOOKUP(E3,Sheet6!$C$2:$D$35017,2,FALSE),0)</f>
        <v>105</v>
      </c>
      <c r="U3" s="9">
        <f>IFERROR(VLOOKUP(E3,Sheet2!$AA$1:$AB$975,2,FALSE),0)</f>
        <v>5</v>
      </c>
      <c r="V3" s="41">
        <f>IFERROR(VLOOKUP(E3,Sheet2!$AC$1:$AD$975,2,FALSE),0)</f>
        <v>74.95</v>
      </c>
      <c r="W3" s="42">
        <f>IFERROR(VLOOKUP(E3,Sheet2!$AE$1:$AF$975,2,FALSE),0)</f>
        <v>86</v>
      </c>
      <c r="X3" s="43">
        <f>IFERROR(VLOOKUP(E3,Sheet2!$AG$1:$AH$975,2,FALSE),0)</f>
        <v>0.13389999999999999</v>
      </c>
      <c r="Z3" s="60">
        <f>IFERROR(VLOOKUP(F3,Sheet2!$AA$1:$AB$975,2,FALSE),0)</f>
        <v>0</v>
      </c>
      <c r="AA3" s="64">
        <f>IFERROR(VLOOKUP(F3,Sheet2!$AC$1:$AD$975,2,FALSE),0)</f>
        <v>0</v>
      </c>
      <c r="AB3" s="65">
        <f>IFERROR(VLOOKUP(F3,Sheet2!$AE$2:$AF$6539,2,FALSE),0)</f>
        <v>0</v>
      </c>
      <c r="AC3" s="43">
        <f>IFERROR(VLOOKUP(F3,Sheet2!$AG$2:$AH$6539,2,FALSE),0)</f>
        <v>0</v>
      </c>
      <c r="AE3" s="112">
        <v>188</v>
      </c>
      <c r="AF3" s="9">
        <v>0</v>
      </c>
      <c r="AG3" s="9">
        <v>0</v>
      </c>
      <c r="AH3" s="9">
        <v>0</v>
      </c>
      <c r="AI3" s="9">
        <v>0</v>
      </c>
      <c r="AJ3" s="9">
        <f t="shared" ref="AJ3" si="0">SUM(AE3+AI3)</f>
        <v>188</v>
      </c>
      <c r="AK3" s="45">
        <f t="shared" ref="AK3" si="1">SUM(AJ3*O3)</f>
        <v>1218.24</v>
      </c>
      <c r="AL3" s="68">
        <v>0</v>
      </c>
      <c r="AM3" s="68">
        <v>0</v>
      </c>
    </row>
    <row r="4" spans="1:39" x14ac:dyDescent="0.2">
      <c r="A4" s="57" t="s">
        <v>2082</v>
      </c>
      <c r="B4" s="47">
        <v>46173</v>
      </c>
      <c r="C4" s="48"/>
      <c r="D4" s="48" t="s">
        <v>1211</v>
      </c>
      <c r="E4" s="49" t="s">
        <v>26</v>
      </c>
      <c r="F4" s="49" t="s">
        <v>27</v>
      </c>
      <c r="G4" s="47" t="e">
        <v>#N/A</v>
      </c>
      <c r="H4" s="47" t="s">
        <v>22</v>
      </c>
      <c r="I4" s="9" t="s">
        <v>28</v>
      </c>
      <c r="J4" s="40" t="s">
        <v>1747</v>
      </c>
      <c r="K4" s="40" t="s">
        <v>24</v>
      </c>
      <c r="L4" s="9" t="s">
        <v>29</v>
      </c>
      <c r="M4" s="11"/>
      <c r="N4" s="11"/>
      <c r="O4" s="50">
        <v>5.8500000000000005</v>
      </c>
      <c r="R4" s="9">
        <f>IFERROR(VLOOKUP(E4,Sheet6!$A$2:$B$500,2,FALSE),0)</f>
        <v>0</v>
      </c>
      <c r="S4" s="41">
        <f>IFERROR(VLOOKUP(E4,Sheet6!$C$2:$D$35017,2,FALSE),0)</f>
        <v>0</v>
      </c>
      <c r="U4" s="9">
        <f>IFERROR(VLOOKUP(E4,Sheet2!$AA$1:$AB$975,2,FALSE),0)</f>
        <v>5</v>
      </c>
      <c r="V4" s="41">
        <f>IFERROR(VLOOKUP(E4,Sheet2!$AC$1:$AD$975,2,FALSE),0)</f>
        <v>65</v>
      </c>
      <c r="W4" s="42">
        <f>IFERROR(VLOOKUP(E4,Sheet2!$AE$1:$AF$975,2,FALSE),0)</f>
        <v>7</v>
      </c>
      <c r="X4" s="43">
        <f>IFERROR(VLOOKUP(E4,Sheet2!$AG$1:$AH$975,2,FALSE),0)</f>
        <v>1</v>
      </c>
      <c r="Z4" s="60">
        <f>IFERROR(VLOOKUP(F4,Sheet2!$AA$1:$AB$975,2,FALSE),0)</f>
        <v>0</v>
      </c>
      <c r="AA4" s="64">
        <f>IFERROR(VLOOKUP(F4,Sheet2!$AC$1:$AD$975,2,FALSE),0)</f>
        <v>0</v>
      </c>
      <c r="AB4" s="65">
        <f>IFERROR(VLOOKUP(F4,Sheet2!$AE$2:$AF$6539,2,FALSE),0)</f>
        <v>0</v>
      </c>
      <c r="AC4" s="43">
        <f>IFERROR(VLOOKUP(F4,Sheet2!$AG$2:$AH$6539,2,FALSE),0)</f>
        <v>0</v>
      </c>
      <c r="AE4" s="112">
        <v>3</v>
      </c>
      <c r="AF4" s="9">
        <v>0</v>
      </c>
      <c r="AG4" s="9">
        <v>0</v>
      </c>
      <c r="AH4" s="9">
        <v>0</v>
      </c>
      <c r="AI4" s="9">
        <v>0</v>
      </c>
      <c r="AJ4" s="9">
        <f t="shared" ref="AJ4:AJ67" si="2">SUM(AE4+AI4)</f>
        <v>3</v>
      </c>
      <c r="AK4" s="45">
        <f t="shared" ref="AK4:AK67" si="3">SUM(AJ4*O4)</f>
        <v>17.55</v>
      </c>
      <c r="AL4" s="68">
        <v>0</v>
      </c>
      <c r="AM4" s="68">
        <v>0</v>
      </c>
    </row>
    <row r="5" spans="1:39" x14ac:dyDescent="0.2">
      <c r="A5" s="57" t="s">
        <v>2082</v>
      </c>
      <c r="B5" s="47">
        <v>46173</v>
      </c>
      <c r="C5" s="48"/>
      <c r="D5" s="48" t="s">
        <v>1212</v>
      </c>
      <c r="E5" s="49" t="s">
        <v>30</v>
      </c>
      <c r="F5" s="49" t="s">
        <v>31</v>
      </c>
      <c r="G5" s="47" t="e">
        <v>#N/A</v>
      </c>
      <c r="H5" s="47" t="s">
        <v>22</v>
      </c>
      <c r="I5" s="9" t="s">
        <v>28</v>
      </c>
      <c r="J5" s="40" t="s">
        <v>1747</v>
      </c>
      <c r="K5" s="40" t="s">
        <v>24</v>
      </c>
      <c r="L5" s="9" t="s">
        <v>32</v>
      </c>
      <c r="M5" s="11"/>
      <c r="N5" s="11"/>
      <c r="O5" s="50">
        <v>5.8500000000000005</v>
      </c>
      <c r="R5" s="9">
        <f>IFERROR(VLOOKUP(E5,Sheet6!$A$2:$B$500,2,FALSE),0)</f>
        <v>0</v>
      </c>
      <c r="S5" s="41">
        <f>IFERROR(VLOOKUP(E5,Sheet6!$C$2:$D$35017,2,FALSE),0)</f>
        <v>0</v>
      </c>
      <c r="U5" s="9">
        <f>IFERROR(VLOOKUP(E5,Sheet2!$AA$1:$AB$975,2,FALSE),0)</f>
        <v>0</v>
      </c>
      <c r="V5" s="41">
        <f>IFERROR(VLOOKUP(E5,Sheet2!$AC$1:$AD$975,2,FALSE),0)</f>
        <v>0</v>
      </c>
      <c r="W5" s="42">
        <f>IFERROR(VLOOKUP(E5,Sheet2!$AE$1:$AF$975,2,FALSE),0)</f>
        <v>0</v>
      </c>
      <c r="X5" s="43">
        <f>IFERROR(VLOOKUP(E5,Sheet2!$AG$1:$AH$975,2,FALSE),0)</f>
        <v>0</v>
      </c>
      <c r="Z5" s="60">
        <f>IFERROR(VLOOKUP(F5,Sheet2!$AA$1:$AB$975,2,FALSE),0)</f>
        <v>0</v>
      </c>
      <c r="AA5" s="64">
        <f>IFERROR(VLOOKUP(F5,Sheet2!$AC$1:$AD$975,2,FALSE),0)</f>
        <v>0</v>
      </c>
      <c r="AB5" s="65">
        <f>IFERROR(VLOOKUP(F5,Sheet2!$AE$2:$AF$6539,2,FALSE),0)</f>
        <v>0</v>
      </c>
      <c r="AC5" s="43">
        <f>IFERROR(VLOOKUP(F5,Sheet2!$AG$2:$AH$6539,2,FALSE),0)</f>
        <v>0</v>
      </c>
      <c r="AE5" s="112">
        <v>3</v>
      </c>
      <c r="AF5" s="9">
        <v>0</v>
      </c>
      <c r="AG5" s="9">
        <v>0</v>
      </c>
      <c r="AH5" s="9">
        <v>0</v>
      </c>
      <c r="AI5" s="9">
        <v>0</v>
      </c>
      <c r="AJ5" s="9">
        <f t="shared" si="2"/>
        <v>3</v>
      </c>
      <c r="AK5" s="45">
        <f t="shared" si="3"/>
        <v>17.55</v>
      </c>
      <c r="AL5" s="68">
        <v>0</v>
      </c>
      <c r="AM5" s="68">
        <v>0</v>
      </c>
    </row>
    <row r="6" spans="1:39" x14ac:dyDescent="0.2">
      <c r="A6" s="57" t="s">
        <v>2082</v>
      </c>
      <c r="B6" s="47">
        <v>46173</v>
      </c>
      <c r="C6" s="48"/>
      <c r="D6" s="48" t="s">
        <v>1213</v>
      </c>
      <c r="E6" s="49" t="s">
        <v>33</v>
      </c>
      <c r="F6" s="49" t="s">
        <v>34</v>
      </c>
      <c r="G6" s="47" t="e">
        <v>#N/A</v>
      </c>
      <c r="H6" s="47" t="s">
        <v>22</v>
      </c>
      <c r="I6" s="9" t="s">
        <v>28</v>
      </c>
      <c r="J6" s="40" t="s">
        <v>1747</v>
      </c>
      <c r="K6" s="40" t="s">
        <v>24</v>
      </c>
      <c r="L6" s="9" t="s">
        <v>35</v>
      </c>
      <c r="M6" s="11"/>
      <c r="N6" s="11"/>
      <c r="O6" s="50">
        <v>5.8500000000000005</v>
      </c>
      <c r="R6" s="9">
        <f>IFERROR(VLOOKUP(E6,Sheet6!$A$2:$B$500,2,FALSE),0)</f>
        <v>0</v>
      </c>
      <c r="S6" s="41">
        <f>IFERROR(VLOOKUP(E6,Sheet6!$C$2:$D$35017,2,FALSE),0)</f>
        <v>0</v>
      </c>
      <c r="U6" s="9">
        <f>IFERROR(VLOOKUP(E6,Sheet2!$AA$1:$AB$975,2,FALSE),0)</f>
        <v>0</v>
      </c>
      <c r="V6" s="41">
        <f>IFERROR(VLOOKUP(E6,Sheet2!$AC$1:$AD$975,2,FALSE),0)</f>
        <v>0</v>
      </c>
      <c r="W6" s="42">
        <f>IFERROR(VLOOKUP(E6,Sheet2!$AE$1:$AF$975,2,FALSE),0)</f>
        <v>0</v>
      </c>
      <c r="X6" s="43">
        <f>IFERROR(VLOOKUP(E6,Sheet2!$AG$1:$AH$975,2,FALSE),0)</f>
        <v>0</v>
      </c>
      <c r="Z6" s="60">
        <f>IFERROR(VLOOKUP(F6,Sheet2!$AA$1:$AB$975,2,FALSE),0)</f>
        <v>0</v>
      </c>
      <c r="AA6" s="64">
        <f>IFERROR(VLOOKUP(F6,Sheet2!$AC$1:$AD$975,2,FALSE),0)</f>
        <v>0</v>
      </c>
      <c r="AB6" s="65">
        <f>IFERROR(VLOOKUP(F6,Sheet2!$AE$2:$AF$6539,2,FALSE),0)</f>
        <v>0</v>
      </c>
      <c r="AC6" s="43">
        <f>IFERROR(VLOOKUP(F6,Sheet2!$AG$2:$AH$6539,2,FALSE),0)</f>
        <v>0</v>
      </c>
      <c r="AE6" s="112">
        <v>26</v>
      </c>
      <c r="AF6" s="9">
        <v>0</v>
      </c>
      <c r="AG6" s="9">
        <v>0</v>
      </c>
      <c r="AH6" s="9">
        <v>0</v>
      </c>
      <c r="AI6" s="9">
        <v>0</v>
      </c>
      <c r="AJ6" s="9">
        <f t="shared" si="2"/>
        <v>26</v>
      </c>
      <c r="AK6" s="45">
        <f t="shared" si="3"/>
        <v>152.10000000000002</v>
      </c>
      <c r="AL6" s="68">
        <v>0</v>
      </c>
      <c r="AM6" s="68">
        <v>0</v>
      </c>
    </row>
    <row r="7" spans="1:39" x14ac:dyDescent="0.2">
      <c r="A7" s="57" t="s">
        <v>2082</v>
      </c>
      <c r="B7" s="47">
        <v>46173</v>
      </c>
      <c r="C7" s="48"/>
      <c r="D7" s="48" t="s">
        <v>1214</v>
      </c>
      <c r="E7" s="49" t="s">
        <v>36</v>
      </c>
      <c r="F7" s="49" t="s">
        <v>37</v>
      </c>
      <c r="G7" s="47" t="e">
        <v>#N/A</v>
      </c>
      <c r="H7" s="47" t="s">
        <v>22</v>
      </c>
      <c r="I7" s="9" t="s">
        <v>28</v>
      </c>
      <c r="J7" s="40" t="s">
        <v>1747</v>
      </c>
      <c r="K7" s="40" t="s">
        <v>24</v>
      </c>
      <c r="L7" s="9" t="s">
        <v>38</v>
      </c>
      <c r="M7" s="11"/>
      <c r="N7" s="11"/>
      <c r="O7" s="50">
        <v>5.8500000000000005</v>
      </c>
      <c r="R7" s="9">
        <f>IFERROR(VLOOKUP(E7,Sheet6!$A$2:$B$500,2,FALSE),0)</f>
        <v>0</v>
      </c>
      <c r="S7" s="41">
        <f>IFERROR(VLOOKUP(E7,Sheet6!$C$2:$D$35017,2,FALSE),0)</f>
        <v>0</v>
      </c>
      <c r="U7" s="9">
        <f>IFERROR(VLOOKUP(E7,Sheet2!$AA$1:$AB$975,2,FALSE),0)</f>
        <v>0</v>
      </c>
      <c r="V7" s="41">
        <f>IFERROR(VLOOKUP(E7,Sheet2!$AC$1:$AD$975,2,FALSE),0)</f>
        <v>0</v>
      </c>
      <c r="W7" s="42">
        <f>IFERROR(VLOOKUP(E7,Sheet2!$AE$1:$AF$975,2,FALSE),0)</f>
        <v>0</v>
      </c>
      <c r="X7" s="43">
        <f>IFERROR(VLOOKUP(E7,Sheet2!$AG$1:$AH$975,2,FALSE),0)</f>
        <v>0</v>
      </c>
      <c r="Z7" s="60">
        <f>IFERROR(VLOOKUP(F7,Sheet2!$AA$1:$AB$975,2,FALSE),0)</f>
        <v>0</v>
      </c>
      <c r="AA7" s="64">
        <f>IFERROR(VLOOKUP(F7,Sheet2!$AC$1:$AD$975,2,FALSE),0)</f>
        <v>0</v>
      </c>
      <c r="AB7" s="65">
        <f>IFERROR(VLOOKUP(F7,Sheet2!$AE$2:$AF$6539,2,FALSE),0)</f>
        <v>0</v>
      </c>
      <c r="AC7" s="43">
        <f>IFERROR(VLOOKUP(F7,Sheet2!$AG$2:$AH$6539,2,FALSE),0)</f>
        <v>0</v>
      </c>
      <c r="AE7" s="112">
        <v>13</v>
      </c>
      <c r="AF7" s="9">
        <v>0</v>
      </c>
      <c r="AG7" s="9">
        <v>0</v>
      </c>
      <c r="AH7" s="9">
        <v>0</v>
      </c>
      <c r="AI7" s="9">
        <v>0</v>
      </c>
      <c r="AJ7" s="9">
        <f t="shared" si="2"/>
        <v>13</v>
      </c>
      <c r="AK7" s="45">
        <f t="shared" si="3"/>
        <v>76.050000000000011</v>
      </c>
      <c r="AL7" s="68">
        <v>0</v>
      </c>
      <c r="AM7" s="68">
        <v>0</v>
      </c>
    </row>
    <row r="8" spans="1:39" x14ac:dyDescent="0.2">
      <c r="A8" s="57" t="s">
        <v>2082</v>
      </c>
      <c r="B8" s="47">
        <v>46173</v>
      </c>
      <c r="C8" s="48"/>
      <c r="D8" s="48" t="s">
        <v>1215</v>
      </c>
      <c r="E8" s="49" t="s">
        <v>39</v>
      </c>
      <c r="F8" s="49" t="s">
        <v>40</v>
      </c>
      <c r="G8" s="47" t="e">
        <v>#N/A</v>
      </c>
      <c r="H8" s="47" t="s">
        <v>22</v>
      </c>
      <c r="I8" s="9" t="s">
        <v>28</v>
      </c>
      <c r="J8" s="40" t="s">
        <v>1747</v>
      </c>
      <c r="K8" s="9" t="s">
        <v>41</v>
      </c>
      <c r="L8" s="9" t="s">
        <v>29</v>
      </c>
      <c r="M8" s="11"/>
      <c r="N8" s="11"/>
      <c r="O8" s="50">
        <v>5.8500000000000005</v>
      </c>
      <c r="R8" s="9">
        <f>IFERROR(VLOOKUP(E8,Sheet6!$A$2:$B$500,2,FALSE),0)</f>
        <v>0</v>
      </c>
      <c r="S8" s="41">
        <f>IFERROR(VLOOKUP(E8,Sheet6!$C$2:$D$35017,2,FALSE),0)</f>
        <v>0</v>
      </c>
      <c r="U8" s="9">
        <f>IFERROR(VLOOKUP(E8,Sheet2!$AA$1:$AB$975,2,FALSE),0)</f>
        <v>0</v>
      </c>
      <c r="V8" s="41">
        <f>IFERROR(VLOOKUP(E8,Sheet2!$AC$1:$AD$975,2,FALSE),0)</f>
        <v>0</v>
      </c>
      <c r="W8" s="42">
        <f>IFERROR(VLOOKUP(E8,Sheet2!$AE$1:$AF$975,2,FALSE),0)</f>
        <v>0</v>
      </c>
      <c r="X8" s="43">
        <f>IFERROR(VLOOKUP(E8,Sheet2!$AG$1:$AH$975,2,FALSE),0)</f>
        <v>0</v>
      </c>
      <c r="Z8" s="60">
        <f>IFERROR(VLOOKUP(F8,Sheet2!$AA$1:$AB$975,2,FALSE),0)</f>
        <v>0</v>
      </c>
      <c r="AA8" s="64">
        <f>IFERROR(VLOOKUP(F8,Sheet2!$AC$1:$AD$975,2,FALSE),0)</f>
        <v>0</v>
      </c>
      <c r="AB8" s="65">
        <f>IFERROR(VLOOKUP(F8,Sheet2!$AE$2:$AF$6539,2,FALSE),0)</f>
        <v>0</v>
      </c>
      <c r="AC8" s="43">
        <f>IFERROR(VLOOKUP(F8,Sheet2!$AG$2:$AH$6539,2,FALSE),0)</f>
        <v>0</v>
      </c>
      <c r="AE8" s="112">
        <v>0</v>
      </c>
      <c r="AF8" s="9">
        <v>0</v>
      </c>
      <c r="AG8" s="9">
        <v>0</v>
      </c>
      <c r="AH8" s="9">
        <v>0</v>
      </c>
      <c r="AI8" s="9">
        <v>0</v>
      </c>
      <c r="AJ8" s="9">
        <f t="shared" si="2"/>
        <v>0</v>
      </c>
      <c r="AK8" s="45">
        <f t="shared" si="3"/>
        <v>0</v>
      </c>
      <c r="AL8" s="68">
        <v>0</v>
      </c>
      <c r="AM8" s="68">
        <v>0</v>
      </c>
    </row>
    <row r="9" spans="1:39" x14ac:dyDescent="0.2">
      <c r="A9" s="57" t="s">
        <v>2082</v>
      </c>
      <c r="B9" s="47">
        <v>46173</v>
      </c>
      <c r="C9" s="48"/>
      <c r="D9" s="48" t="s">
        <v>1216</v>
      </c>
      <c r="E9" s="49" t="s">
        <v>42</v>
      </c>
      <c r="F9" s="49" t="s">
        <v>43</v>
      </c>
      <c r="G9" s="47" t="e">
        <v>#N/A</v>
      </c>
      <c r="H9" s="47" t="s">
        <v>22</v>
      </c>
      <c r="I9" s="9" t="s">
        <v>28</v>
      </c>
      <c r="J9" s="40" t="s">
        <v>1747</v>
      </c>
      <c r="K9" s="9" t="s">
        <v>41</v>
      </c>
      <c r="L9" s="9" t="s">
        <v>32</v>
      </c>
      <c r="M9" s="11"/>
      <c r="N9" s="11"/>
      <c r="O9" s="50">
        <v>5.8500000000000005</v>
      </c>
      <c r="R9" s="9">
        <f>IFERROR(VLOOKUP(E9,Sheet6!$A$2:$B$500,2,FALSE),0)</f>
        <v>0</v>
      </c>
      <c r="S9" s="41">
        <f>IFERROR(VLOOKUP(E9,Sheet6!$C$2:$D$35017,2,FALSE),0)</f>
        <v>0</v>
      </c>
      <c r="U9" s="9">
        <f>IFERROR(VLOOKUP(E9,Sheet2!$AA$1:$AB$975,2,FALSE),0)</f>
        <v>3</v>
      </c>
      <c r="V9" s="41">
        <f>IFERROR(VLOOKUP(E9,Sheet2!$AC$1:$AD$975,2,FALSE),0)</f>
        <v>39</v>
      </c>
      <c r="W9" s="42">
        <f>IFERROR(VLOOKUP(E9,Sheet2!$AE$1:$AF$975,2,FALSE),0)</f>
        <v>11</v>
      </c>
      <c r="X9" s="43">
        <f>IFERROR(VLOOKUP(E9,Sheet2!$AG$1:$AH$975,2,FALSE),0)</f>
        <v>1</v>
      </c>
      <c r="Z9" s="60">
        <f>IFERROR(VLOOKUP(F9,Sheet2!$AA$1:$AB$975,2,FALSE),0)</f>
        <v>0</v>
      </c>
      <c r="AA9" s="64">
        <f>IFERROR(VLOOKUP(F9,Sheet2!$AC$1:$AD$975,2,FALSE),0)</f>
        <v>0</v>
      </c>
      <c r="AB9" s="65">
        <f>IFERROR(VLOOKUP(F9,Sheet2!$AE$2:$AF$6539,2,FALSE),0)</f>
        <v>0</v>
      </c>
      <c r="AC9" s="43">
        <f>IFERROR(VLOOKUP(F9,Sheet2!$AG$2:$AH$6539,2,FALSE),0)</f>
        <v>0</v>
      </c>
      <c r="AE9" s="112">
        <v>6</v>
      </c>
      <c r="AF9" s="9">
        <v>0</v>
      </c>
      <c r="AG9" s="9">
        <v>0</v>
      </c>
      <c r="AH9" s="9">
        <v>0</v>
      </c>
      <c r="AI9" s="9">
        <v>0</v>
      </c>
      <c r="AJ9" s="9">
        <f t="shared" si="2"/>
        <v>6</v>
      </c>
      <c r="AK9" s="45">
        <f t="shared" si="3"/>
        <v>35.1</v>
      </c>
      <c r="AL9" s="68">
        <v>0</v>
      </c>
      <c r="AM9" s="68">
        <v>0</v>
      </c>
    </row>
    <row r="10" spans="1:39" x14ac:dyDescent="0.2">
      <c r="A10" s="57" t="s">
        <v>2082</v>
      </c>
      <c r="B10" s="47">
        <v>46173</v>
      </c>
      <c r="C10" s="48"/>
      <c r="D10" s="48" t="s">
        <v>1217</v>
      </c>
      <c r="E10" s="49" t="s">
        <v>44</v>
      </c>
      <c r="F10" s="49" t="s">
        <v>45</v>
      </c>
      <c r="G10" s="47" t="e">
        <v>#N/A</v>
      </c>
      <c r="H10" s="47" t="s">
        <v>22</v>
      </c>
      <c r="I10" s="9" t="s">
        <v>28</v>
      </c>
      <c r="J10" s="40" t="s">
        <v>1747</v>
      </c>
      <c r="K10" s="9" t="s">
        <v>41</v>
      </c>
      <c r="L10" s="9" t="s">
        <v>35</v>
      </c>
      <c r="M10" s="11"/>
      <c r="N10" s="11"/>
      <c r="O10" s="50">
        <v>5.8500000000000005</v>
      </c>
      <c r="R10" s="9">
        <f>IFERROR(VLOOKUP(E10,Sheet6!$A$2:$B$500,2,FALSE),0)</f>
        <v>3</v>
      </c>
      <c r="S10" s="41">
        <f>IFERROR(VLOOKUP(E10,Sheet6!$C$2:$D$35017,2,FALSE),0)</f>
        <v>39</v>
      </c>
      <c r="U10" s="9">
        <f>IFERROR(VLOOKUP(E10,Sheet2!$AA$1:$AB$975,2,FALSE),0)</f>
        <v>1</v>
      </c>
      <c r="V10" s="41">
        <f>IFERROR(VLOOKUP(E10,Sheet2!$AC$1:$AD$975,2,FALSE),0)</f>
        <v>13</v>
      </c>
      <c r="W10" s="42">
        <f>IFERROR(VLOOKUP(E10,Sheet2!$AE$1:$AF$975,2,FALSE),0)</f>
        <v>2</v>
      </c>
      <c r="X10" s="43">
        <f>IFERROR(VLOOKUP(E10,Sheet2!$AG$1:$AH$975,2,FALSE),0)</f>
        <v>1</v>
      </c>
      <c r="Z10" s="60">
        <f>IFERROR(VLOOKUP(F10,Sheet2!$AA$1:$AB$975,2,FALSE),0)</f>
        <v>0</v>
      </c>
      <c r="AA10" s="64">
        <f>IFERROR(VLOOKUP(F10,Sheet2!$AC$1:$AD$975,2,FALSE),0)</f>
        <v>0</v>
      </c>
      <c r="AB10" s="65">
        <f>IFERROR(VLOOKUP(F10,Sheet2!$AE$2:$AF$6539,2,FALSE),0)</f>
        <v>0</v>
      </c>
      <c r="AC10" s="43">
        <f>IFERROR(VLOOKUP(F10,Sheet2!$AG$2:$AH$6539,2,FALSE),0)</f>
        <v>0</v>
      </c>
      <c r="AE10" s="112">
        <v>7</v>
      </c>
      <c r="AF10" s="9">
        <v>0</v>
      </c>
      <c r="AG10" s="9">
        <v>0</v>
      </c>
      <c r="AH10" s="9">
        <v>0</v>
      </c>
      <c r="AI10" s="9">
        <v>0</v>
      </c>
      <c r="AJ10" s="9">
        <f t="shared" si="2"/>
        <v>7</v>
      </c>
      <c r="AK10" s="45">
        <f t="shared" si="3"/>
        <v>40.950000000000003</v>
      </c>
      <c r="AL10" s="68">
        <v>0</v>
      </c>
      <c r="AM10" s="68">
        <v>0</v>
      </c>
    </row>
    <row r="11" spans="1:39" x14ac:dyDescent="0.2">
      <c r="A11" s="57" t="s">
        <v>2082</v>
      </c>
      <c r="B11" s="47">
        <v>46173</v>
      </c>
      <c r="C11" s="48"/>
      <c r="D11" s="48" t="s">
        <v>1218</v>
      </c>
      <c r="E11" s="49" t="s">
        <v>46</v>
      </c>
      <c r="F11" s="49" t="s">
        <v>47</v>
      </c>
      <c r="G11" s="47" t="e">
        <v>#N/A</v>
      </c>
      <c r="H11" s="47" t="s">
        <v>22</v>
      </c>
      <c r="I11" s="40" t="s">
        <v>48</v>
      </c>
      <c r="J11" s="40" t="s">
        <v>49</v>
      </c>
      <c r="K11" s="40" t="s">
        <v>24</v>
      </c>
      <c r="L11" s="40" t="s">
        <v>29</v>
      </c>
      <c r="M11" s="11"/>
      <c r="N11" s="11"/>
      <c r="O11" s="50">
        <v>6.48</v>
      </c>
      <c r="R11" s="9">
        <f>IFERROR(VLOOKUP(E11,Sheet6!$A$2:$B$500,2,FALSE),0)</f>
        <v>0</v>
      </c>
      <c r="S11" s="41">
        <f>IFERROR(VLOOKUP(E11,Sheet6!$C$2:$D$35017,2,FALSE),0)</f>
        <v>0</v>
      </c>
      <c r="U11" s="9">
        <f>IFERROR(VLOOKUP(E11,Sheet2!$AA$1:$AB$975,2,FALSE),0)</f>
        <v>0</v>
      </c>
      <c r="V11" s="41">
        <f>IFERROR(VLOOKUP(E11,Sheet2!$AC$1:$AD$975,2,FALSE),0)</f>
        <v>0</v>
      </c>
      <c r="W11" s="42">
        <f>IFERROR(VLOOKUP(E11,Sheet2!$AE$1:$AF$975,2,FALSE),0)</f>
        <v>0</v>
      </c>
      <c r="X11" s="43">
        <f>IFERROR(VLOOKUP(E11,Sheet2!$AG$1:$AH$975,2,FALSE),0)</f>
        <v>0</v>
      </c>
      <c r="Z11" s="60">
        <f>IFERROR(VLOOKUP(F11,Sheet2!$AA$1:$AB$975,2,FALSE),0)</f>
        <v>0</v>
      </c>
      <c r="AA11" s="64">
        <f>IFERROR(VLOOKUP(F11,Sheet2!$AC$1:$AD$975,2,FALSE),0)</f>
        <v>0</v>
      </c>
      <c r="AB11" s="65">
        <f>IFERROR(VLOOKUP(F11,Sheet2!$AE$2:$AF$6539,2,FALSE),0)</f>
        <v>0</v>
      </c>
      <c r="AC11" s="43">
        <f>IFERROR(VLOOKUP(F11,Sheet2!$AG$2:$AH$6539,2,FALSE),0)</f>
        <v>0</v>
      </c>
      <c r="AE11" s="112">
        <v>0</v>
      </c>
      <c r="AF11" s="9">
        <v>0</v>
      </c>
      <c r="AG11" s="9">
        <v>0</v>
      </c>
      <c r="AH11" s="9">
        <v>0</v>
      </c>
      <c r="AI11" s="9">
        <v>0</v>
      </c>
      <c r="AJ11" s="9">
        <f t="shared" si="2"/>
        <v>0</v>
      </c>
      <c r="AK11" s="45">
        <f t="shared" si="3"/>
        <v>0</v>
      </c>
      <c r="AL11" s="68">
        <v>0</v>
      </c>
      <c r="AM11" s="68">
        <v>0</v>
      </c>
    </row>
    <row r="12" spans="1:39" x14ac:dyDescent="0.2">
      <c r="A12" s="57" t="s">
        <v>2082</v>
      </c>
      <c r="B12" s="47">
        <v>46173</v>
      </c>
      <c r="C12" s="48"/>
      <c r="D12" s="48" t="s">
        <v>1219</v>
      </c>
      <c r="E12" s="49" t="s">
        <v>50</v>
      </c>
      <c r="F12" s="49" t="s">
        <v>51</v>
      </c>
      <c r="G12" s="47" t="e">
        <v>#N/A</v>
      </c>
      <c r="H12" s="47" t="s">
        <v>22</v>
      </c>
      <c r="I12" s="40" t="s">
        <v>48</v>
      </c>
      <c r="J12" s="40" t="s">
        <v>49</v>
      </c>
      <c r="K12" s="40" t="s">
        <v>24</v>
      </c>
      <c r="L12" s="40" t="s">
        <v>32</v>
      </c>
      <c r="M12" s="11"/>
      <c r="N12" s="11"/>
      <c r="O12" s="50">
        <v>6.48</v>
      </c>
      <c r="R12" s="9">
        <f>IFERROR(VLOOKUP(E12,Sheet6!$A$2:$B$500,2,FALSE),0)</f>
        <v>12</v>
      </c>
      <c r="S12" s="41">
        <f>IFERROR(VLOOKUP(E12,Sheet6!$C$2:$D$35017,2,FALSE),0)</f>
        <v>180</v>
      </c>
      <c r="U12" s="9">
        <f>IFERROR(VLOOKUP(E12,Sheet2!$AA$1:$AB$975,2,FALSE),0)</f>
        <v>87</v>
      </c>
      <c r="V12" s="41">
        <f>IFERROR(VLOOKUP(E12,Sheet2!$AC$1:$AD$975,2,FALSE),0)</f>
        <v>1304.1300000000001</v>
      </c>
      <c r="W12" s="42">
        <f>IFERROR(VLOOKUP(E12,Sheet2!$AE$1:$AF$975,2,FALSE),0)</f>
        <v>271</v>
      </c>
      <c r="X12" s="43">
        <f>IFERROR(VLOOKUP(E12,Sheet2!$AG$1:$AH$975,2,FALSE),0)</f>
        <v>1</v>
      </c>
      <c r="Z12" s="60">
        <f>IFERROR(VLOOKUP(F12,Sheet2!$AA$1:$AB$975,2,FALSE),0)</f>
        <v>0</v>
      </c>
      <c r="AA12" s="64">
        <f>IFERROR(VLOOKUP(F12,Sheet2!$AC$1:$AD$975,2,FALSE),0)</f>
        <v>0</v>
      </c>
      <c r="AB12" s="65">
        <f>IFERROR(VLOOKUP(F12,Sheet2!$AE$2:$AF$6539,2,FALSE),0)</f>
        <v>0</v>
      </c>
      <c r="AC12" s="43">
        <f>IFERROR(VLOOKUP(F12,Sheet2!$AG$2:$AH$6539,2,FALSE),0)</f>
        <v>0</v>
      </c>
      <c r="AE12" s="112">
        <v>68</v>
      </c>
      <c r="AF12" s="9">
        <v>0</v>
      </c>
      <c r="AG12" s="9">
        <v>0</v>
      </c>
      <c r="AH12" s="9">
        <v>0</v>
      </c>
      <c r="AI12" s="9">
        <v>0</v>
      </c>
      <c r="AJ12" s="9">
        <f t="shared" si="2"/>
        <v>68</v>
      </c>
      <c r="AK12" s="45">
        <f t="shared" si="3"/>
        <v>440.64000000000004</v>
      </c>
      <c r="AL12" s="68">
        <v>0</v>
      </c>
      <c r="AM12" s="68">
        <v>12</v>
      </c>
    </row>
    <row r="13" spans="1:39" x14ac:dyDescent="0.2">
      <c r="A13" s="57" t="s">
        <v>2082</v>
      </c>
      <c r="B13" s="47">
        <v>46173</v>
      </c>
      <c r="C13" s="48"/>
      <c r="D13" s="48" t="s">
        <v>1220</v>
      </c>
      <c r="E13" s="49" t="s">
        <v>52</v>
      </c>
      <c r="F13" s="49" t="s">
        <v>53</v>
      </c>
      <c r="G13" s="47" t="e">
        <v>#N/A</v>
      </c>
      <c r="H13" s="47" t="s">
        <v>22</v>
      </c>
      <c r="I13" s="40" t="s">
        <v>48</v>
      </c>
      <c r="J13" s="40" t="s">
        <v>49</v>
      </c>
      <c r="K13" s="40" t="s">
        <v>24</v>
      </c>
      <c r="L13" s="40" t="s">
        <v>35</v>
      </c>
      <c r="M13" s="11"/>
      <c r="N13" s="11"/>
      <c r="O13" s="50">
        <v>6.48</v>
      </c>
      <c r="R13" s="9">
        <f>IFERROR(VLOOKUP(E13,Sheet6!$A$2:$B$500,2,FALSE),0)</f>
        <v>8</v>
      </c>
      <c r="S13" s="41">
        <f>IFERROR(VLOOKUP(E13,Sheet6!$C$2:$D$35017,2,FALSE),0)</f>
        <v>117.75</v>
      </c>
      <c r="U13" s="9">
        <f>IFERROR(VLOOKUP(E13,Sheet2!$AA$1:$AB$975,2,FALSE),0)</f>
        <v>46</v>
      </c>
      <c r="V13" s="41">
        <f>IFERROR(VLOOKUP(E13,Sheet2!$AC$1:$AD$975,2,FALSE),0)</f>
        <v>690</v>
      </c>
      <c r="W13" s="42">
        <f>IFERROR(VLOOKUP(E13,Sheet2!$AE$1:$AF$975,2,FALSE),0)</f>
        <v>131</v>
      </c>
      <c r="X13" s="43">
        <f>IFERROR(VLOOKUP(E13,Sheet2!$AG$1:$AH$975,2,FALSE),0)</f>
        <v>1</v>
      </c>
      <c r="Z13" s="60">
        <f>IFERROR(VLOOKUP(F13,Sheet2!$AA$1:$AB$975,2,FALSE),0)</f>
        <v>0</v>
      </c>
      <c r="AA13" s="64">
        <f>IFERROR(VLOOKUP(F13,Sheet2!$AC$1:$AD$975,2,FALSE),0)</f>
        <v>0</v>
      </c>
      <c r="AB13" s="65">
        <f>IFERROR(VLOOKUP(F13,Sheet2!$AE$2:$AF$6539,2,FALSE),0)</f>
        <v>0</v>
      </c>
      <c r="AC13" s="43">
        <f>IFERROR(VLOOKUP(F13,Sheet2!$AG$2:$AH$6539,2,FALSE),0)</f>
        <v>0</v>
      </c>
      <c r="AE13" s="112">
        <v>251</v>
      </c>
      <c r="AF13" s="9">
        <v>0</v>
      </c>
      <c r="AG13" s="9">
        <v>0</v>
      </c>
      <c r="AH13" s="9">
        <v>0</v>
      </c>
      <c r="AI13" s="9">
        <v>0</v>
      </c>
      <c r="AJ13" s="9">
        <f t="shared" si="2"/>
        <v>251</v>
      </c>
      <c r="AK13" s="45">
        <f t="shared" si="3"/>
        <v>1626.48</v>
      </c>
      <c r="AL13" s="68">
        <v>0</v>
      </c>
      <c r="AM13" s="68">
        <v>0</v>
      </c>
    </row>
    <row r="14" spans="1:39" x14ac:dyDescent="0.2">
      <c r="A14" s="57" t="s">
        <v>2082</v>
      </c>
      <c r="B14" s="47">
        <v>46173</v>
      </c>
      <c r="C14" s="48"/>
      <c r="D14" s="48" t="s">
        <v>1221</v>
      </c>
      <c r="E14" s="49" t="s">
        <v>54</v>
      </c>
      <c r="F14" s="49" t="s">
        <v>55</v>
      </c>
      <c r="G14" s="47" t="e">
        <v>#N/A</v>
      </c>
      <c r="H14" s="47" t="s">
        <v>22</v>
      </c>
      <c r="I14" s="40" t="s">
        <v>48</v>
      </c>
      <c r="J14" s="40" t="s">
        <v>49</v>
      </c>
      <c r="K14" s="40" t="s">
        <v>41</v>
      </c>
      <c r="L14" s="40" t="s">
        <v>29</v>
      </c>
      <c r="M14" s="11"/>
      <c r="N14" s="11"/>
      <c r="O14" s="50">
        <v>6.48</v>
      </c>
      <c r="R14" s="9">
        <f>IFERROR(VLOOKUP(E14,Sheet6!$A$2:$B$500,2,FALSE),0)</f>
        <v>0</v>
      </c>
      <c r="S14" s="41">
        <f>IFERROR(VLOOKUP(E14,Sheet6!$C$2:$D$35017,2,FALSE),0)</f>
        <v>0</v>
      </c>
      <c r="U14" s="9">
        <f>IFERROR(VLOOKUP(E14,Sheet2!$AA$1:$AB$975,2,FALSE),0)</f>
        <v>0</v>
      </c>
      <c r="V14" s="41">
        <f>IFERROR(VLOOKUP(E14,Sheet2!$AC$1:$AD$975,2,FALSE),0)</f>
        <v>0</v>
      </c>
      <c r="W14" s="42">
        <f>IFERROR(VLOOKUP(E14,Sheet2!$AE$1:$AF$975,2,FALSE),0)</f>
        <v>0</v>
      </c>
      <c r="X14" s="43">
        <f>IFERROR(VLOOKUP(E14,Sheet2!$AG$1:$AH$975,2,FALSE),0)</f>
        <v>0</v>
      </c>
      <c r="Z14" s="60">
        <f>IFERROR(VLOOKUP(F14,Sheet2!$AA$1:$AB$975,2,FALSE),0)</f>
        <v>0</v>
      </c>
      <c r="AA14" s="64">
        <f>IFERROR(VLOOKUP(F14,Sheet2!$AC$1:$AD$975,2,FALSE),0)</f>
        <v>0</v>
      </c>
      <c r="AB14" s="65">
        <f>IFERROR(VLOOKUP(F14,Sheet2!$AE$2:$AF$6539,2,FALSE),0)</f>
        <v>0</v>
      </c>
      <c r="AC14" s="43">
        <f>IFERROR(VLOOKUP(F14,Sheet2!$AG$2:$AH$6539,2,FALSE),0)</f>
        <v>0</v>
      </c>
      <c r="AE14" s="112">
        <v>28</v>
      </c>
      <c r="AF14" s="9">
        <v>0</v>
      </c>
      <c r="AG14" s="9">
        <v>0</v>
      </c>
      <c r="AH14" s="9">
        <v>0</v>
      </c>
      <c r="AI14" s="9">
        <v>0</v>
      </c>
      <c r="AJ14" s="9">
        <f t="shared" si="2"/>
        <v>28</v>
      </c>
      <c r="AK14" s="45">
        <f t="shared" si="3"/>
        <v>181.44</v>
      </c>
      <c r="AL14" s="68">
        <v>0</v>
      </c>
      <c r="AM14" s="68">
        <v>0</v>
      </c>
    </row>
    <row r="15" spans="1:39" x14ac:dyDescent="0.2">
      <c r="A15" s="57" t="s">
        <v>2082</v>
      </c>
      <c r="B15" s="47">
        <v>46173</v>
      </c>
      <c r="C15" s="48"/>
      <c r="D15" s="48" t="s">
        <v>1222</v>
      </c>
      <c r="E15" s="49" t="s">
        <v>56</v>
      </c>
      <c r="F15" s="49" t="s">
        <v>57</v>
      </c>
      <c r="G15" s="47" t="e">
        <v>#N/A</v>
      </c>
      <c r="H15" s="47" t="s">
        <v>22</v>
      </c>
      <c r="I15" s="40" t="s">
        <v>48</v>
      </c>
      <c r="J15" s="40" t="s">
        <v>49</v>
      </c>
      <c r="K15" s="40" t="s">
        <v>41</v>
      </c>
      <c r="L15" s="40" t="s">
        <v>32</v>
      </c>
      <c r="M15" s="11"/>
      <c r="N15" s="11"/>
      <c r="O15" s="50">
        <v>6.48</v>
      </c>
      <c r="R15" s="9">
        <f>IFERROR(VLOOKUP(E15,Sheet6!$A$2:$B$500,2,FALSE),0)</f>
        <v>9</v>
      </c>
      <c r="S15" s="41">
        <f>IFERROR(VLOOKUP(E15,Sheet6!$C$2:$D$35017,2,FALSE),0)</f>
        <v>135</v>
      </c>
      <c r="U15" s="9">
        <f>IFERROR(VLOOKUP(E15,Sheet2!$AA$1:$AB$975,2,FALSE),0)</f>
        <v>0</v>
      </c>
      <c r="V15" s="41">
        <f>IFERROR(VLOOKUP(E15,Sheet2!$AC$1:$AD$975,2,FALSE),0)</f>
        <v>0</v>
      </c>
      <c r="W15" s="42">
        <f>IFERROR(VLOOKUP(E15,Sheet2!$AE$1:$AF$975,2,FALSE),0)</f>
        <v>0</v>
      </c>
      <c r="X15" s="43">
        <f>IFERROR(VLOOKUP(E15,Sheet2!$AG$1:$AH$975,2,FALSE),0)</f>
        <v>0</v>
      </c>
      <c r="Z15" s="60">
        <f>IFERROR(VLOOKUP(F15,Sheet2!$AA$1:$AB$975,2,FALSE),0)</f>
        <v>0</v>
      </c>
      <c r="AA15" s="64">
        <f>IFERROR(VLOOKUP(F15,Sheet2!$AC$1:$AD$975,2,FALSE),0)</f>
        <v>0</v>
      </c>
      <c r="AB15" s="65">
        <f>IFERROR(VLOOKUP(F15,Sheet2!$AE$2:$AF$6539,2,FALSE),0)</f>
        <v>0</v>
      </c>
      <c r="AC15" s="43">
        <f>IFERROR(VLOOKUP(F15,Sheet2!$AG$2:$AH$6539,2,FALSE),0)</f>
        <v>0</v>
      </c>
      <c r="AE15" s="112">
        <v>44</v>
      </c>
      <c r="AF15" s="9">
        <v>0</v>
      </c>
      <c r="AG15" s="9">
        <v>0</v>
      </c>
      <c r="AH15" s="9">
        <v>0</v>
      </c>
      <c r="AI15" s="9">
        <v>0</v>
      </c>
      <c r="AJ15" s="9">
        <f t="shared" si="2"/>
        <v>44</v>
      </c>
      <c r="AK15" s="45">
        <f t="shared" si="3"/>
        <v>285.12</v>
      </c>
      <c r="AL15" s="68">
        <v>0</v>
      </c>
      <c r="AM15" s="68">
        <v>90</v>
      </c>
    </row>
    <row r="16" spans="1:39" x14ac:dyDescent="0.2">
      <c r="A16" s="57" t="s">
        <v>2082</v>
      </c>
      <c r="B16" s="47">
        <v>46173</v>
      </c>
      <c r="C16" s="48"/>
      <c r="D16" s="48" t="s">
        <v>1223</v>
      </c>
      <c r="E16" s="49" t="s">
        <v>58</v>
      </c>
      <c r="F16" s="49" t="s">
        <v>59</v>
      </c>
      <c r="G16" s="47" t="e">
        <v>#N/A</v>
      </c>
      <c r="H16" s="47" t="s">
        <v>22</v>
      </c>
      <c r="I16" s="40" t="s">
        <v>48</v>
      </c>
      <c r="J16" s="40" t="s">
        <v>49</v>
      </c>
      <c r="K16" s="40" t="s">
        <v>41</v>
      </c>
      <c r="L16" s="40" t="s">
        <v>35</v>
      </c>
      <c r="M16" s="11"/>
      <c r="N16" s="11"/>
      <c r="O16" s="50">
        <v>6.48</v>
      </c>
      <c r="R16" s="9">
        <f>IFERROR(VLOOKUP(E16,Sheet6!$A$2:$B$500,2,FALSE),0)</f>
        <v>3</v>
      </c>
      <c r="S16" s="41">
        <f>IFERROR(VLOOKUP(E16,Sheet6!$C$2:$D$35017,2,FALSE),0)</f>
        <v>45</v>
      </c>
      <c r="U16" s="9">
        <f>IFERROR(VLOOKUP(E16,Sheet2!$AA$1:$AB$975,2,FALSE),0)</f>
        <v>7</v>
      </c>
      <c r="V16" s="41">
        <f>IFERROR(VLOOKUP(E16,Sheet2!$AC$1:$AD$975,2,FALSE),0)</f>
        <v>105</v>
      </c>
      <c r="W16" s="42">
        <f>IFERROR(VLOOKUP(E16,Sheet2!$AE$1:$AF$975,2,FALSE),0)</f>
        <v>36</v>
      </c>
      <c r="X16" s="43">
        <f>IFERROR(VLOOKUP(E16,Sheet2!$AG$1:$AH$975,2,FALSE),0)</f>
        <v>0.4894</v>
      </c>
      <c r="Z16" s="60">
        <f>IFERROR(VLOOKUP(F16,Sheet2!$AA$1:$AB$975,2,FALSE),0)</f>
        <v>0</v>
      </c>
      <c r="AA16" s="64">
        <f>IFERROR(VLOOKUP(F16,Sheet2!$AC$1:$AD$975,2,FALSE),0)</f>
        <v>0</v>
      </c>
      <c r="AB16" s="65">
        <f>IFERROR(VLOOKUP(F16,Sheet2!$AE$2:$AF$6539,2,FALSE),0)</f>
        <v>0</v>
      </c>
      <c r="AC16" s="43">
        <f>IFERROR(VLOOKUP(F16,Sheet2!$AG$2:$AH$6539,2,FALSE),0)</f>
        <v>0</v>
      </c>
      <c r="AE16" s="112">
        <v>74</v>
      </c>
      <c r="AF16" s="9">
        <v>0</v>
      </c>
      <c r="AG16" s="9">
        <v>0</v>
      </c>
      <c r="AH16" s="9">
        <v>0</v>
      </c>
      <c r="AI16" s="9">
        <v>0</v>
      </c>
      <c r="AJ16" s="9">
        <f t="shared" si="2"/>
        <v>74</v>
      </c>
      <c r="AK16" s="45">
        <f t="shared" si="3"/>
        <v>479.52000000000004</v>
      </c>
      <c r="AL16" s="68">
        <v>0</v>
      </c>
      <c r="AM16" s="68">
        <v>0</v>
      </c>
    </row>
    <row r="17" spans="1:39" x14ac:dyDescent="0.2">
      <c r="A17" s="57" t="s">
        <v>2082</v>
      </c>
      <c r="B17" s="47">
        <v>46173</v>
      </c>
      <c r="C17" s="48"/>
      <c r="D17" s="48" t="s">
        <v>1224</v>
      </c>
      <c r="E17" s="49" t="s">
        <v>60</v>
      </c>
      <c r="F17" s="49" t="s">
        <v>61</v>
      </c>
      <c r="G17" s="47" t="e">
        <v>#N/A</v>
      </c>
      <c r="H17" s="47" t="s">
        <v>22</v>
      </c>
      <c r="I17" s="40" t="s">
        <v>48</v>
      </c>
      <c r="J17" s="40" t="s">
        <v>49</v>
      </c>
      <c r="K17" s="9" t="s">
        <v>1027</v>
      </c>
      <c r="L17" s="40" t="s">
        <v>29</v>
      </c>
      <c r="M17" s="11"/>
      <c r="N17" s="11"/>
      <c r="O17" s="50">
        <v>6.48</v>
      </c>
      <c r="R17" s="9">
        <f>IFERROR(VLOOKUP(E17,Sheet6!$A$2:$B$500,2,FALSE),0)</f>
        <v>0</v>
      </c>
      <c r="S17" s="41">
        <f>IFERROR(VLOOKUP(E17,Sheet6!$C$2:$D$35017,2,FALSE),0)</f>
        <v>0</v>
      </c>
      <c r="U17" s="9">
        <f>IFERROR(VLOOKUP(E17,Sheet2!$AA$1:$AB$975,2,FALSE),0)</f>
        <v>0</v>
      </c>
      <c r="V17" s="41">
        <f>IFERROR(VLOOKUP(E17,Sheet2!$AC$1:$AD$975,2,FALSE),0)</f>
        <v>0</v>
      </c>
      <c r="W17" s="42">
        <f>IFERROR(VLOOKUP(E17,Sheet2!$AE$1:$AF$975,2,FALSE),0)</f>
        <v>0</v>
      </c>
      <c r="X17" s="43">
        <f>IFERROR(VLOOKUP(E17,Sheet2!$AG$1:$AH$975,2,FALSE),0)</f>
        <v>0</v>
      </c>
      <c r="Z17" s="60">
        <f>IFERROR(VLOOKUP(F17,Sheet2!$AA$1:$AB$975,2,FALSE),0)</f>
        <v>0</v>
      </c>
      <c r="AA17" s="64">
        <f>IFERROR(VLOOKUP(F17,Sheet2!$AC$1:$AD$975,2,FALSE),0)</f>
        <v>0</v>
      </c>
      <c r="AB17" s="65">
        <f>IFERROR(VLOOKUP(F17,Sheet2!$AE$2:$AF$6539,2,FALSE),0)</f>
        <v>0</v>
      </c>
      <c r="AC17" s="43">
        <f>IFERROR(VLOOKUP(F17,Sheet2!$AG$2:$AH$6539,2,FALSE),0)</f>
        <v>0</v>
      </c>
      <c r="AE17" s="112">
        <v>0</v>
      </c>
      <c r="AF17" s="9">
        <v>0</v>
      </c>
      <c r="AG17" s="9">
        <v>0</v>
      </c>
      <c r="AH17" s="9">
        <v>0</v>
      </c>
      <c r="AI17" s="9">
        <v>0</v>
      </c>
      <c r="AJ17" s="9">
        <f t="shared" si="2"/>
        <v>0</v>
      </c>
      <c r="AK17" s="45">
        <f t="shared" si="3"/>
        <v>0</v>
      </c>
      <c r="AL17" s="68">
        <v>0</v>
      </c>
      <c r="AM17" s="68">
        <v>0</v>
      </c>
    </row>
    <row r="18" spans="1:39" x14ac:dyDescent="0.2">
      <c r="A18" s="57" t="s">
        <v>2082</v>
      </c>
      <c r="B18" s="47">
        <v>46173</v>
      </c>
      <c r="C18" s="48"/>
      <c r="D18" s="48" t="s">
        <v>1225</v>
      </c>
      <c r="E18" s="49" t="s">
        <v>62</v>
      </c>
      <c r="F18" s="49" t="s">
        <v>63</v>
      </c>
      <c r="G18" s="47" t="e">
        <v>#N/A</v>
      </c>
      <c r="H18" s="47" t="s">
        <v>22</v>
      </c>
      <c r="I18" s="40" t="s">
        <v>48</v>
      </c>
      <c r="J18" s="40" t="s">
        <v>49</v>
      </c>
      <c r="K18" s="9" t="s">
        <v>1027</v>
      </c>
      <c r="L18" s="40" t="s">
        <v>32</v>
      </c>
      <c r="M18" s="11"/>
      <c r="N18" s="11"/>
      <c r="O18" s="50">
        <v>6.48</v>
      </c>
      <c r="R18" s="9">
        <f>IFERROR(VLOOKUP(E18,Sheet6!$A$2:$B$500,2,FALSE),0)</f>
        <v>0</v>
      </c>
      <c r="S18" s="41">
        <f>IFERROR(VLOOKUP(E18,Sheet6!$C$2:$D$35017,2,FALSE),0)</f>
        <v>0</v>
      </c>
      <c r="U18" s="9">
        <f>IFERROR(VLOOKUP(E18,Sheet2!$AA$1:$AB$975,2,FALSE),0)</f>
        <v>0</v>
      </c>
      <c r="V18" s="41">
        <f>IFERROR(VLOOKUP(E18,Sheet2!$AC$1:$AD$975,2,FALSE),0)</f>
        <v>0</v>
      </c>
      <c r="W18" s="42">
        <f>IFERROR(VLOOKUP(E18,Sheet2!$AE$1:$AF$975,2,FALSE),0)</f>
        <v>0</v>
      </c>
      <c r="X18" s="43">
        <f>IFERROR(VLOOKUP(E18,Sheet2!$AG$1:$AH$975,2,FALSE),0)</f>
        <v>0</v>
      </c>
      <c r="Z18" s="60">
        <f>IFERROR(VLOOKUP(F18,Sheet2!$AA$1:$AB$975,2,FALSE),0)</f>
        <v>0</v>
      </c>
      <c r="AA18" s="64">
        <f>IFERROR(VLOOKUP(F18,Sheet2!$AC$1:$AD$975,2,FALSE),0)</f>
        <v>0</v>
      </c>
      <c r="AB18" s="65">
        <f>IFERROR(VLOOKUP(F18,Sheet2!$AE$2:$AF$6539,2,FALSE),0)</f>
        <v>0</v>
      </c>
      <c r="AC18" s="43">
        <f>IFERROR(VLOOKUP(F18,Sheet2!$AG$2:$AH$6539,2,FALSE),0)</f>
        <v>0</v>
      </c>
      <c r="AE18" s="112">
        <v>0</v>
      </c>
      <c r="AF18" s="9">
        <v>0</v>
      </c>
      <c r="AG18" s="9">
        <v>0</v>
      </c>
      <c r="AH18" s="9">
        <v>0</v>
      </c>
      <c r="AI18" s="9">
        <v>0</v>
      </c>
      <c r="AJ18" s="9">
        <f t="shared" si="2"/>
        <v>0</v>
      </c>
      <c r="AK18" s="45">
        <f t="shared" si="3"/>
        <v>0</v>
      </c>
      <c r="AL18" s="68">
        <v>0</v>
      </c>
      <c r="AM18" s="68">
        <v>0</v>
      </c>
    </row>
    <row r="19" spans="1:39" x14ac:dyDescent="0.2">
      <c r="A19" s="57" t="s">
        <v>2082</v>
      </c>
      <c r="B19" s="47">
        <v>46173</v>
      </c>
      <c r="C19" s="48"/>
      <c r="D19" s="48" t="s">
        <v>1226</v>
      </c>
      <c r="E19" s="49" t="s">
        <v>64</v>
      </c>
      <c r="F19" s="49" t="s">
        <v>65</v>
      </c>
      <c r="G19" s="47" t="e">
        <v>#N/A</v>
      </c>
      <c r="H19" s="47" t="s">
        <v>22</v>
      </c>
      <c r="I19" s="40" t="s">
        <v>48</v>
      </c>
      <c r="J19" s="40" t="s">
        <v>49</v>
      </c>
      <c r="K19" s="9" t="s">
        <v>1027</v>
      </c>
      <c r="L19" s="40" t="s">
        <v>35</v>
      </c>
      <c r="M19" s="11"/>
      <c r="N19" s="11"/>
      <c r="O19" s="50">
        <v>6.48</v>
      </c>
      <c r="R19" s="9">
        <f>IFERROR(VLOOKUP(E19,Sheet6!$A$2:$B$500,2,FALSE),0)</f>
        <v>0</v>
      </c>
      <c r="S19" s="41">
        <f>IFERROR(VLOOKUP(E19,Sheet6!$C$2:$D$35017,2,FALSE),0)</f>
        <v>0</v>
      </c>
      <c r="U19" s="9">
        <f>IFERROR(VLOOKUP(E19,Sheet2!$AA$1:$AB$975,2,FALSE),0)</f>
        <v>0</v>
      </c>
      <c r="V19" s="41">
        <f>IFERROR(VLOOKUP(E19,Sheet2!$AC$1:$AD$975,2,FALSE),0)</f>
        <v>0</v>
      </c>
      <c r="W19" s="42">
        <f>IFERROR(VLOOKUP(E19,Sheet2!$AE$1:$AF$975,2,FALSE),0)</f>
        <v>0</v>
      </c>
      <c r="X19" s="43">
        <f>IFERROR(VLOOKUP(E19,Sheet2!$AG$1:$AH$975,2,FALSE),0)</f>
        <v>0</v>
      </c>
      <c r="Z19" s="60">
        <f>IFERROR(VLOOKUP(F19,Sheet2!$AA$1:$AB$975,2,FALSE),0)</f>
        <v>0</v>
      </c>
      <c r="AA19" s="64">
        <f>IFERROR(VLOOKUP(F19,Sheet2!$AC$1:$AD$975,2,FALSE),0)</f>
        <v>0</v>
      </c>
      <c r="AB19" s="65">
        <f>IFERROR(VLOOKUP(F19,Sheet2!$AE$2:$AF$6539,2,FALSE),0)</f>
        <v>0</v>
      </c>
      <c r="AC19" s="43">
        <f>IFERROR(VLOOKUP(F19,Sheet2!$AG$2:$AH$6539,2,FALSE),0)</f>
        <v>0</v>
      </c>
      <c r="AE19" s="112">
        <v>0</v>
      </c>
      <c r="AF19" s="9">
        <v>0</v>
      </c>
      <c r="AG19" s="9">
        <v>0</v>
      </c>
      <c r="AH19" s="9">
        <v>0</v>
      </c>
      <c r="AI19" s="9">
        <v>0</v>
      </c>
      <c r="AJ19" s="9">
        <f t="shared" si="2"/>
        <v>0</v>
      </c>
      <c r="AK19" s="45">
        <f t="shared" si="3"/>
        <v>0</v>
      </c>
      <c r="AL19" s="68">
        <v>0</v>
      </c>
      <c r="AM19" s="68">
        <v>24</v>
      </c>
    </row>
    <row r="20" spans="1:39" x14ac:dyDescent="0.2">
      <c r="A20" s="57" t="s">
        <v>2082</v>
      </c>
      <c r="B20" s="47">
        <v>46173</v>
      </c>
      <c r="C20" s="48"/>
      <c r="D20" s="48" t="s">
        <v>1227</v>
      </c>
      <c r="E20" s="51" t="s">
        <v>66</v>
      </c>
      <c r="F20" s="51" t="s">
        <v>67</v>
      </c>
      <c r="G20" s="47" t="e">
        <v>#N/A</v>
      </c>
      <c r="H20" s="47" t="s">
        <v>22</v>
      </c>
      <c r="I20" s="9" t="s">
        <v>68</v>
      </c>
      <c r="J20" s="40" t="s">
        <v>1650</v>
      </c>
      <c r="K20" s="40" t="s">
        <v>24</v>
      </c>
      <c r="L20" s="9" t="s">
        <v>29</v>
      </c>
      <c r="M20" s="11"/>
      <c r="N20" s="11"/>
      <c r="O20" s="50">
        <v>7.7760000000000007</v>
      </c>
      <c r="R20" s="9">
        <f>IFERROR(VLOOKUP(E20,Sheet6!$A$2:$B$500,2,FALSE),0)</f>
        <v>3</v>
      </c>
      <c r="S20" s="41">
        <f>IFERROR(VLOOKUP(E20,Sheet6!$C$2:$D$35017,2,FALSE),0)</f>
        <v>36</v>
      </c>
      <c r="U20" s="9">
        <f>IFERROR(VLOOKUP(E20,Sheet2!$AA$1:$AB$975,2,FALSE),0)</f>
        <v>0</v>
      </c>
      <c r="V20" s="41">
        <f>IFERROR(VLOOKUP(E20,Sheet2!$AC$1:$AD$975,2,FALSE),0)</f>
        <v>0</v>
      </c>
      <c r="W20" s="42">
        <f>IFERROR(VLOOKUP(E20,Sheet2!$AE$1:$AF$975,2,FALSE),0)</f>
        <v>0</v>
      </c>
      <c r="X20" s="43">
        <f>IFERROR(VLOOKUP(E20,Sheet2!$AG$1:$AH$975,2,FALSE),0)</f>
        <v>0</v>
      </c>
      <c r="Z20" s="60">
        <f>IFERROR(VLOOKUP(F20,Sheet2!$AA$1:$AB$975,2,FALSE),0)</f>
        <v>7</v>
      </c>
      <c r="AA20" s="64">
        <f>IFERROR(VLOOKUP(F20,Sheet2!$AC$1:$AD$975,2,FALSE),0)</f>
        <v>126</v>
      </c>
      <c r="AB20" s="65">
        <f>IFERROR(VLOOKUP(F20,Sheet2!$AE$2:$AF$6539,2,FALSE),0)</f>
        <v>70</v>
      </c>
      <c r="AC20" s="43">
        <f>IFERROR(VLOOKUP(F20,Sheet2!$AG$2:$AH$6539,2,FALSE),0)</f>
        <v>0.86519999999999997</v>
      </c>
      <c r="AE20" s="112">
        <v>7</v>
      </c>
      <c r="AF20" s="9">
        <v>48</v>
      </c>
      <c r="AG20" s="9">
        <v>0</v>
      </c>
      <c r="AH20" s="9">
        <v>1</v>
      </c>
      <c r="AI20" s="9">
        <v>49</v>
      </c>
      <c r="AJ20" s="9">
        <f t="shared" si="2"/>
        <v>56</v>
      </c>
      <c r="AK20" s="45">
        <f t="shared" si="3"/>
        <v>435.45600000000002</v>
      </c>
      <c r="AL20" s="68">
        <v>0</v>
      </c>
      <c r="AM20" s="68">
        <v>0</v>
      </c>
    </row>
    <row r="21" spans="1:39" x14ac:dyDescent="0.2">
      <c r="A21" s="57" t="s">
        <v>2082</v>
      </c>
      <c r="B21" s="47">
        <v>46173</v>
      </c>
      <c r="C21" s="48"/>
      <c r="D21" s="48" t="s">
        <v>1228</v>
      </c>
      <c r="E21" s="51" t="s">
        <v>69</v>
      </c>
      <c r="F21" s="51" t="s">
        <v>70</v>
      </c>
      <c r="G21" s="47" t="e">
        <v>#N/A</v>
      </c>
      <c r="H21" s="47" t="s">
        <v>22</v>
      </c>
      <c r="I21" s="9" t="s">
        <v>68</v>
      </c>
      <c r="J21" s="40" t="s">
        <v>1650</v>
      </c>
      <c r="K21" s="40" t="s">
        <v>24</v>
      </c>
      <c r="L21" s="9" t="s">
        <v>32</v>
      </c>
      <c r="M21" s="11"/>
      <c r="N21" s="11"/>
      <c r="O21" s="50">
        <v>7.7760000000000007</v>
      </c>
      <c r="R21" s="9">
        <f>IFERROR(VLOOKUP(E21,Sheet6!$A$2:$B$500,2,FALSE),0)</f>
        <v>4</v>
      </c>
      <c r="S21" s="41">
        <f>IFERROR(VLOOKUP(E21,Sheet6!$C$2:$D$35017,2,FALSE),0)</f>
        <v>72</v>
      </c>
      <c r="U21" s="9">
        <f>IFERROR(VLOOKUP(E21,Sheet2!$AA$1:$AB$975,2,FALSE),0)</f>
        <v>0</v>
      </c>
      <c r="V21" s="41">
        <f>IFERROR(VLOOKUP(E21,Sheet2!$AC$1:$AD$975,2,FALSE),0)</f>
        <v>0</v>
      </c>
      <c r="W21" s="42">
        <f>IFERROR(VLOOKUP(E21,Sheet2!$AE$1:$AF$975,2,FALSE),0)</f>
        <v>0</v>
      </c>
      <c r="X21" s="43">
        <f>IFERROR(VLOOKUP(E21,Sheet2!$AG$1:$AH$975,2,FALSE),0)</f>
        <v>0</v>
      </c>
      <c r="Z21" s="60">
        <f>IFERROR(VLOOKUP(F21,Sheet2!$AA$1:$AB$975,2,FALSE),0)</f>
        <v>10</v>
      </c>
      <c r="AA21" s="64">
        <f>IFERROR(VLOOKUP(F21,Sheet2!$AC$1:$AD$975,2,FALSE),0)</f>
        <v>180</v>
      </c>
      <c r="AB21" s="65">
        <f>IFERROR(VLOOKUP(F21,Sheet2!$AE$2:$AF$6539,2,FALSE),0)</f>
        <v>60</v>
      </c>
      <c r="AC21" s="43">
        <f>IFERROR(VLOOKUP(F21,Sheet2!$AG$2:$AH$6539,2,FALSE),0)</f>
        <v>0.61539999999999995</v>
      </c>
      <c r="AE21" s="112">
        <v>0</v>
      </c>
      <c r="AF21" s="9">
        <v>25</v>
      </c>
      <c r="AG21" s="9">
        <v>0</v>
      </c>
      <c r="AH21" s="9">
        <v>0</v>
      </c>
      <c r="AI21" s="9">
        <v>25</v>
      </c>
      <c r="AJ21" s="9">
        <f t="shared" si="2"/>
        <v>25</v>
      </c>
      <c r="AK21" s="45">
        <f t="shared" si="3"/>
        <v>194.4</v>
      </c>
      <c r="AL21" s="68">
        <v>0</v>
      </c>
      <c r="AM21" s="68">
        <v>0</v>
      </c>
    </row>
    <row r="22" spans="1:39" x14ac:dyDescent="0.2">
      <c r="A22" s="57" t="s">
        <v>2082</v>
      </c>
      <c r="B22" s="47">
        <v>46173</v>
      </c>
      <c r="C22" s="48"/>
      <c r="D22" s="48" t="s">
        <v>1229</v>
      </c>
      <c r="E22" s="51" t="s">
        <v>71</v>
      </c>
      <c r="F22" s="51" t="s">
        <v>72</v>
      </c>
      <c r="G22" s="47" t="e">
        <v>#N/A</v>
      </c>
      <c r="H22" s="47" t="s">
        <v>22</v>
      </c>
      <c r="I22" s="9" t="s">
        <v>68</v>
      </c>
      <c r="J22" s="40" t="s">
        <v>1650</v>
      </c>
      <c r="K22" s="40" t="s">
        <v>24</v>
      </c>
      <c r="L22" s="9" t="s">
        <v>35</v>
      </c>
      <c r="M22" s="11"/>
      <c r="N22" s="11"/>
      <c r="O22" s="50">
        <v>7.7760000000000007</v>
      </c>
      <c r="R22" s="9">
        <f>IFERROR(VLOOKUP(E22,Sheet6!$A$2:$B$500,2,FALSE),0)</f>
        <v>5</v>
      </c>
      <c r="S22" s="41">
        <f>IFERROR(VLOOKUP(E22,Sheet6!$C$2:$D$35017,2,FALSE),0)</f>
        <v>90</v>
      </c>
      <c r="U22" s="9">
        <f>IFERROR(VLOOKUP(E22,Sheet2!$AA$1:$AB$975,2,FALSE),0)</f>
        <v>0</v>
      </c>
      <c r="V22" s="41">
        <f>IFERROR(VLOOKUP(E22,Sheet2!$AC$1:$AD$975,2,FALSE),0)</f>
        <v>0</v>
      </c>
      <c r="W22" s="42">
        <f>IFERROR(VLOOKUP(E22,Sheet2!$AE$1:$AF$975,2,FALSE),0)</f>
        <v>0</v>
      </c>
      <c r="X22" s="43">
        <f>IFERROR(VLOOKUP(E22,Sheet2!$AG$1:$AH$975,2,FALSE),0)</f>
        <v>0</v>
      </c>
      <c r="Z22" s="60">
        <f>IFERROR(VLOOKUP(F22,Sheet2!$AA$1:$AB$975,2,FALSE),0)</f>
        <v>0</v>
      </c>
      <c r="AA22" s="64">
        <f>IFERROR(VLOOKUP(F22,Sheet2!$AC$1:$AD$975,2,FALSE),0)</f>
        <v>0</v>
      </c>
      <c r="AB22" s="65">
        <f>IFERROR(VLOOKUP(F22,Sheet2!$AE$2:$AF$6539,2,FALSE),0)</f>
        <v>0</v>
      </c>
      <c r="AC22" s="43">
        <f>IFERROR(VLOOKUP(F22,Sheet2!$AG$2:$AH$6539,2,FALSE),0)</f>
        <v>0</v>
      </c>
      <c r="AE22" s="112">
        <v>35</v>
      </c>
      <c r="AF22" s="9">
        <v>0</v>
      </c>
      <c r="AG22" s="9">
        <v>0</v>
      </c>
      <c r="AH22" s="9">
        <v>0</v>
      </c>
      <c r="AI22" s="9">
        <v>0</v>
      </c>
      <c r="AJ22" s="9">
        <f t="shared" si="2"/>
        <v>35</v>
      </c>
      <c r="AK22" s="45">
        <f t="shared" si="3"/>
        <v>272.16000000000003</v>
      </c>
      <c r="AL22" s="68">
        <v>0</v>
      </c>
      <c r="AM22" s="68">
        <v>0</v>
      </c>
    </row>
    <row r="23" spans="1:39" x14ac:dyDescent="0.2">
      <c r="A23" s="57" t="s">
        <v>2082</v>
      </c>
      <c r="B23" s="47">
        <v>46173</v>
      </c>
      <c r="C23" s="48"/>
      <c r="D23" s="48" t="s">
        <v>1230</v>
      </c>
      <c r="E23" s="49" t="s">
        <v>73</v>
      </c>
      <c r="F23" s="49" t="s">
        <v>74</v>
      </c>
      <c r="G23" s="47" t="e">
        <v>#N/A</v>
      </c>
      <c r="H23" s="47" t="s">
        <v>22</v>
      </c>
      <c r="I23" s="9" t="s">
        <v>75</v>
      </c>
      <c r="J23" s="40" t="s">
        <v>1670</v>
      </c>
      <c r="K23" s="9" t="s">
        <v>24</v>
      </c>
      <c r="L23" s="40">
        <v>10</v>
      </c>
      <c r="M23" s="11"/>
      <c r="N23" s="11"/>
      <c r="O23" s="50">
        <v>7.7760000000000007</v>
      </c>
      <c r="R23" s="9">
        <f>IFERROR(VLOOKUP(E23,Sheet6!$A$2:$B$500,2,FALSE),0)</f>
        <v>0</v>
      </c>
      <c r="S23" s="41">
        <f>IFERROR(VLOOKUP(E23,Sheet6!$C$2:$D$35017,2,FALSE),0)</f>
        <v>0</v>
      </c>
      <c r="U23" s="9">
        <f>IFERROR(VLOOKUP(E23,Sheet2!$AA$1:$AB$975,2,FALSE),0)</f>
        <v>0</v>
      </c>
      <c r="V23" s="41">
        <f>IFERROR(VLOOKUP(E23,Sheet2!$AC$1:$AD$975,2,FALSE),0)</f>
        <v>0</v>
      </c>
      <c r="W23" s="42">
        <f>IFERROR(VLOOKUP(E23,Sheet2!$AE$1:$AF$975,2,FALSE),0)</f>
        <v>0</v>
      </c>
      <c r="X23" s="43">
        <f>IFERROR(VLOOKUP(E23,Sheet2!$AG$1:$AH$975,2,FALSE),0)</f>
        <v>0</v>
      </c>
      <c r="Z23" s="60">
        <f>IFERROR(VLOOKUP(F23,Sheet2!$AA$1:$AB$975,2,FALSE),0)</f>
        <v>0</v>
      </c>
      <c r="AA23" s="64">
        <f>IFERROR(VLOOKUP(F23,Sheet2!$AC$1:$AD$975,2,FALSE),0)</f>
        <v>0</v>
      </c>
      <c r="AB23" s="65">
        <f>IFERROR(VLOOKUP(F23,Sheet2!$AE$2:$AF$6539,2,FALSE),0)</f>
        <v>0</v>
      </c>
      <c r="AC23" s="43">
        <f>IFERROR(VLOOKUP(F23,Sheet2!$AG$2:$AH$6539,2,FALSE),0)</f>
        <v>0</v>
      </c>
      <c r="AE23" s="112">
        <v>70</v>
      </c>
      <c r="AF23" s="9">
        <v>0</v>
      </c>
      <c r="AG23" s="9">
        <v>6</v>
      </c>
      <c r="AH23" s="9">
        <v>0</v>
      </c>
      <c r="AI23" s="9">
        <v>6</v>
      </c>
      <c r="AJ23" s="9">
        <f t="shared" si="2"/>
        <v>76</v>
      </c>
      <c r="AK23" s="45">
        <f t="shared" si="3"/>
        <v>590.976</v>
      </c>
      <c r="AL23" s="68">
        <v>6</v>
      </c>
      <c r="AM23" s="68">
        <v>0</v>
      </c>
    </row>
    <row r="24" spans="1:39" x14ac:dyDescent="0.2">
      <c r="A24" s="57" t="s">
        <v>2082</v>
      </c>
      <c r="B24" s="47">
        <v>46173</v>
      </c>
      <c r="C24" s="48"/>
      <c r="D24" s="48" t="s">
        <v>1231</v>
      </c>
      <c r="E24" s="49" t="s">
        <v>76</v>
      </c>
      <c r="F24" s="49" t="s">
        <v>77</v>
      </c>
      <c r="G24" s="47" t="e">
        <v>#N/A</v>
      </c>
      <c r="H24" s="47" t="s">
        <v>22</v>
      </c>
      <c r="I24" s="9" t="s">
        <v>75</v>
      </c>
      <c r="J24" s="40" t="s">
        <v>1670</v>
      </c>
      <c r="K24" s="9" t="s">
        <v>24</v>
      </c>
      <c r="L24" s="40">
        <v>11</v>
      </c>
      <c r="M24" s="11"/>
      <c r="N24" s="11"/>
      <c r="O24" s="50">
        <v>7.7760000000000007</v>
      </c>
      <c r="R24" s="9">
        <f>IFERROR(VLOOKUP(E24,Sheet6!$A$2:$B$500,2,FALSE),0)</f>
        <v>0</v>
      </c>
      <c r="S24" s="41">
        <f>IFERROR(VLOOKUP(E24,Sheet6!$C$2:$D$35017,2,FALSE),0)</f>
        <v>0</v>
      </c>
      <c r="U24" s="9">
        <f>IFERROR(VLOOKUP(E24,Sheet2!$AA$1:$AB$975,2,FALSE),0)</f>
        <v>0</v>
      </c>
      <c r="V24" s="41">
        <f>IFERROR(VLOOKUP(E24,Sheet2!$AC$1:$AD$975,2,FALSE),0)</f>
        <v>0</v>
      </c>
      <c r="W24" s="42">
        <f>IFERROR(VLOOKUP(E24,Sheet2!$AE$1:$AF$975,2,FALSE),0)</f>
        <v>0</v>
      </c>
      <c r="X24" s="43">
        <f>IFERROR(VLOOKUP(E24,Sheet2!$AG$1:$AH$975,2,FALSE),0)</f>
        <v>0</v>
      </c>
      <c r="Z24" s="60">
        <f>IFERROR(VLOOKUP(F24,Sheet2!$AA$1:$AB$975,2,FALSE),0)</f>
        <v>0</v>
      </c>
      <c r="AA24" s="64">
        <f>IFERROR(VLOOKUP(F24,Sheet2!$AC$1:$AD$975,2,FALSE),0)</f>
        <v>0</v>
      </c>
      <c r="AB24" s="65">
        <f>IFERROR(VLOOKUP(F24,Sheet2!$AE$2:$AF$6539,2,FALSE),0)</f>
        <v>0</v>
      </c>
      <c r="AC24" s="43">
        <f>IFERROR(VLOOKUP(F24,Sheet2!$AG$2:$AH$6539,2,FALSE),0)</f>
        <v>0</v>
      </c>
      <c r="AE24" s="112">
        <v>66</v>
      </c>
      <c r="AF24" s="9">
        <v>0</v>
      </c>
      <c r="AG24" s="9">
        <v>0</v>
      </c>
      <c r="AH24" s="9">
        <v>0</v>
      </c>
      <c r="AI24" s="9">
        <v>0</v>
      </c>
      <c r="AJ24" s="9">
        <f t="shared" si="2"/>
        <v>66</v>
      </c>
      <c r="AK24" s="45">
        <f t="shared" si="3"/>
        <v>513.21600000000001</v>
      </c>
      <c r="AL24" s="68">
        <v>0</v>
      </c>
      <c r="AM24" s="68">
        <v>0</v>
      </c>
    </row>
    <row r="25" spans="1:39" x14ac:dyDescent="0.2">
      <c r="A25" s="57" t="s">
        <v>2082</v>
      </c>
      <c r="B25" s="47">
        <v>46173</v>
      </c>
      <c r="C25" s="48"/>
      <c r="D25" s="48" t="s">
        <v>1232</v>
      </c>
      <c r="E25" s="49" t="s">
        <v>78</v>
      </c>
      <c r="F25" s="49" t="s">
        <v>79</v>
      </c>
      <c r="G25" s="47" t="e">
        <v>#N/A</v>
      </c>
      <c r="H25" s="47" t="s">
        <v>22</v>
      </c>
      <c r="I25" s="9" t="s">
        <v>75</v>
      </c>
      <c r="J25" s="40" t="s">
        <v>1670</v>
      </c>
      <c r="K25" s="9" t="s">
        <v>24</v>
      </c>
      <c r="L25" s="40">
        <v>12</v>
      </c>
      <c r="M25" s="11"/>
      <c r="N25" s="11"/>
      <c r="O25" s="50">
        <v>7.7760000000000007</v>
      </c>
      <c r="R25" s="9">
        <f>IFERROR(VLOOKUP(E25,Sheet6!$A$2:$B$500,2,FALSE),0)</f>
        <v>0</v>
      </c>
      <c r="S25" s="41">
        <f>IFERROR(VLOOKUP(E25,Sheet6!$C$2:$D$35017,2,FALSE),0)</f>
        <v>0</v>
      </c>
      <c r="U25" s="9">
        <f>IFERROR(VLOOKUP(E25,Sheet2!$AA$1:$AB$975,2,FALSE),0)</f>
        <v>0</v>
      </c>
      <c r="V25" s="41">
        <f>IFERROR(VLOOKUP(E25,Sheet2!$AC$1:$AD$975,2,FALSE),0)</f>
        <v>0</v>
      </c>
      <c r="W25" s="42">
        <f>IFERROR(VLOOKUP(E25,Sheet2!$AE$1:$AF$975,2,FALSE),0)</f>
        <v>0</v>
      </c>
      <c r="X25" s="43">
        <f>IFERROR(VLOOKUP(E25,Sheet2!$AG$1:$AH$975,2,FALSE),0)</f>
        <v>0</v>
      </c>
      <c r="Z25" s="60">
        <f>IFERROR(VLOOKUP(F25,Sheet2!$AA$1:$AB$975,2,FALSE),0)</f>
        <v>1</v>
      </c>
      <c r="AA25" s="64">
        <f>IFERROR(VLOOKUP(F25,Sheet2!$AC$1:$AD$975,2,FALSE),0)</f>
        <v>18</v>
      </c>
      <c r="AB25" s="65">
        <f>IFERROR(VLOOKUP(F25,Sheet2!$AE$2:$AF$6539,2,FALSE),0)</f>
        <v>28</v>
      </c>
      <c r="AC25" s="43">
        <f>IFERROR(VLOOKUP(F25,Sheet2!$AG$2:$AH$6539,2,FALSE),0)</f>
        <v>0.5484</v>
      </c>
      <c r="AE25" s="112">
        <v>62</v>
      </c>
      <c r="AF25" s="9">
        <v>8</v>
      </c>
      <c r="AG25" s="9">
        <v>0</v>
      </c>
      <c r="AH25" s="9">
        <v>0</v>
      </c>
      <c r="AI25" s="9">
        <v>8</v>
      </c>
      <c r="AJ25" s="9">
        <f t="shared" si="2"/>
        <v>70</v>
      </c>
      <c r="AK25" s="45">
        <f t="shared" si="3"/>
        <v>544.32000000000005</v>
      </c>
      <c r="AL25" s="68">
        <v>0</v>
      </c>
      <c r="AM25" s="68">
        <v>0</v>
      </c>
    </row>
    <row r="26" spans="1:39" x14ac:dyDescent="0.2">
      <c r="A26" s="57" t="s">
        <v>2082</v>
      </c>
      <c r="B26" s="47">
        <v>46173</v>
      </c>
      <c r="C26" s="108"/>
      <c r="D26" s="48" t="s">
        <v>1233</v>
      </c>
      <c r="E26" s="49" t="s">
        <v>80</v>
      </c>
      <c r="F26" s="49" t="s">
        <v>81</v>
      </c>
      <c r="G26" s="47" t="e">
        <v>#N/A</v>
      </c>
      <c r="H26" s="47" t="s">
        <v>22</v>
      </c>
      <c r="I26" s="9" t="s">
        <v>75</v>
      </c>
      <c r="J26" s="40" t="s">
        <v>1670</v>
      </c>
      <c r="K26" s="9" t="s">
        <v>24</v>
      </c>
      <c r="L26" s="40">
        <v>13</v>
      </c>
      <c r="M26" s="11"/>
      <c r="N26" s="11"/>
      <c r="O26" s="50">
        <v>7.7760000000000007</v>
      </c>
      <c r="R26" s="9">
        <f>IFERROR(VLOOKUP(E26,Sheet6!$A$2:$B$500,2,FALSE),0)</f>
        <v>0</v>
      </c>
      <c r="S26" s="41">
        <f>IFERROR(VLOOKUP(E26,Sheet6!$C$2:$D$35017,2,FALSE),0)</f>
        <v>0</v>
      </c>
      <c r="U26" s="9">
        <f>IFERROR(VLOOKUP(E26,Sheet2!$AA$1:$AB$975,2,FALSE),0)</f>
        <v>8</v>
      </c>
      <c r="V26" s="41">
        <f>IFERROR(VLOOKUP(E26,Sheet2!$AC$1:$AD$975,2,FALSE),0)</f>
        <v>144</v>
      </c>
      <c r="W26" s="42">
        <f>IFERROR(VLOOKUP(E26,Sheet2!$AE$1:$AF$975,2,FALSE),0)</f>
        <v>20</v>
      </c>
      <c r="X26" s="43">
        <f>IFERROR(VLOOKUP(E26,Sheet2!$AG$1:$AH$975,2,FALSE),0)</f>
        <v>0.96879999999999999</v>
      </c>
      <c r="Z26" s="60">
        <f>IFERROR(VLOOKUP(F26,Sheet2!$AA$1:$AB$975,2,FALSE),0)</f>
        <v>0</v>
      </c>
      <c r="AA26" s="64">
        <f>IFERROR(VLOOKUP(F26,Sheet2!$AC$1:$AD$975,2,FALSE),0)</f>
        <v>0</v>
      </c>
      <c r="AB26" s="65">
        <f>IFERROR(VLOOKUP(F26,Sheet2!$AE$2:$AF$6539,2,FALSE),0)</f>
        <v>0</v>
      </c>
      <c r="AC26" s="43">
        <f>IFERROR(VLOOKUP(F26,Sheet2!$AG$2:$AH$6539,2,FALSE),0)</f>
        <v>0</v>
      </c>
      <c r="AE26" s="112">
        <v>46</v>
      </c>
      <c r="AF26" s="9">
        <v>0</v>
      </c>
      <c r="AG26" s="9">
        <v>0</v>
      </c>
      <c r="AH26" s="9">
        <v>0</v>
      </c>
      <c r="AI26" s="9">
        <v>0</v>
      </c>
      <c r="AJ26" s="9">
        <f t="shared" si="2"/>
        <v>46</v>
      </c>
      <c r="AK26" s="45">
        <f t="shared" si="3"/>
        <v>357.69600000000003</v>
      </c>
      <c r="AL26" s="68">
        <v>0</v>
      </c>
      <c r="AM26" s="68">
        <v>0</v>
      </c>
    </row>
    <row r="27" spans="1:39" x14ac:dyDescent="0.2">
      <c r="A27" s="57" t="s">
        <v>2082</v>
      </c>
      <c r="B27" s="47">
        <v>46173</v>
      </c>
      <c r="C27" s="48"/>
      <c r="D27" s="48" t="s">
        <v>1234</v>
      </c>
      <c r="E27" s="49" t="s">
        <v>82</v>
      </c>
      <c r="F27" s="49" t="s">
        <v>83</v>
      </c>
      <c r="G27" s="47" t="e">
        <v>#N/A</v>
      </c>
      <c r="H27" s="47" t="s">
        <v>22</v>
      </c>
      <c r="I27" s="9" t="s">
        <v>75</v>
      </c>
      <c r="J27" s="40" t="s">
        <v>1670</v>
      </c>
      <c r="K27" s="9" t="s">
        <v>24</v>
      </c>
      <c r="L27" s="40">
        <v>14</v>
      </c>
      <c r="M27" s="11"/>
      <c r="N27" s="11"/>
      <c r="O27" s="50">
        <v>7.7760000000000007</v>
      </c>
      <c r="R27" s="9">
        <f>IFERROR(VLOOKUP(E27,Sheet6!$A$2:$B$500,2,FALSE),0)</f>
        <v>0</v>
      </c>
      <c r="S27" s="41">
        <f>IFERROR(VLOOKUP(E27,Sheet6!$C$2:$D$35017,2,FALSE),0)</f>
        <v>0</v>
      </c>
      <c r="U27" s="9">
        <f>IFERROR(VLOOKUP(E27,Sheet2!$AA$1:$AB$975,2,FALSE),0)</f>
        <v>0</v>
      </c>
      <c r="V27" s="41">
        <f>IFERROR(VLOOKUP(E27,Sheet2!$AC$1:$AD$975,2,FALSE),0)</f>
        <v>0</v>
      </c>
      <c r="W27" s="42">
        <f>IFERROR(VLOOKUP(E27,Sheet2!$AE$1:$AF$975,2,FALSE),0)</f>
        <v>0</v>
      </c>
      <c r="X27" s="43">
        <f>IFERROR(VLOOKUP(E27,Sheet2!$AG$1:$AH$975,2,FALSE),0)</f>
        <v>0</v>
      </c>
      <c r="Z27" s="60">
        <f>IFERROR(VLOOKUP(F27,Sheet2!$AA$1:$AB$975,2,FALSE),0)</f>
        <v>0</v>
      </c>
      <c r="AA27" s="64">
        <f>IFERROR(VLOOKUP(F27,Sheet2!$AC$1:$AD$975,2,FALSE),0)</f>
        <v>0</v>
      </c>
      <c r="AB27" s="65">
        <f>IFERROR(VLOOKUP(F27,Sheet2!$AE$2:$AF$6539,2,FALSE),0)</f>
        <v>0</v>
      </c>
      <c r="AC27" s="43">
        <f>IFERROR(VLOOKUP(F27,Sheet2!$AG$2:$AH$6539,2,FALSE),0)</f>
        <v>0</v>
      </c>
      <c r="AE27" s="112">
        <v>27</v>
      </c>
      <c r="AF27" s="9">
        <v>16</v>
      </c>
      <c r="AG27" s="9">
        <v>0</v>
      </c>
      <c r="AH27" s="9">
        <v>0</v>
      </c>
      <c r="AI27" s="9">
        <v>16</v>
      </c>
      <c r="AJ27" s="9">
        <f t="shared" si="2"/>
        <v>43</v>
      </c>
      <c r="AK27" s="45">
        <f t="shared" si="3"/>
        <v>334.36800000000005</v>
      </c>
      <c r="AL27" s="68">
        <v>0</v>
      </c>
      <c r="AM27" s="68">
        <v>0</v>
      </c>
    </row>
    <row r="28" spans="1:39" x14ac:dyDescent="0.2">
      <c r="A28" s="57" t="s">
        <v>2082</v>
      </c>
      <c r="B28" s="47">
        <v>46173</v>
      </c>
      <c r="C28" s="48"/>
      <c r="D28" s="48" t="s">
        <v>1235</v>
      </c>
      <c r="E28" s="49" t="s">
        <v>84</v>
      </c>
      <c r="F28" s="49" t="s">
        <v>85</v>
      </c>
      <c r="G28" s="47" t="e">
        <v>#N/A</v>
      </c>
      <c r="H28" s="47" t="s">
        <v>22</v>
      </c>
      <c r="I28" s="9" t="s">
        <v>75</v>
      </c>
      <c r="J28" s="40" t="s">
        <v>1670</v>
      </c>
      <c r="K28" s="9" t="s">
        <v>41</v>
      </c>
      <c r="L28" s="40">
        <v>10</v>
      </c>
      <c r="M28" s="11"/>
      <c r="N28" s="11"/>
      <c r="O28" s="50">
        <v>7.7760000000000007</v>
      </c>
      <c r="R28" s="9">
        <f>IFERROR(VLOOKUP(E28,Sheet6!$A$2:$B$500,2,FALSE),0)</f>
        <v>0</v>
      </c>
      <c r="S28" s="41">
        <f>IFERROR(VLOOKUP(E28,Sheet6!$C$2:$D$35017,2,FALSE),0)</f>
        <v>0</v>
      </c>
      <c r="U28" s="9">
        <f>IFERROR(VLOOKUP(E28,Sheet2!$AA$1:$AB$975,2,FALSE),0)</f>
        <v>0</v>
      </c>
      <c r="V28" s="41">
        <f>IFERROR(VLOOKUP(E28,Sheet2!$AC$1:$AD$975,2,FALSE),0)</f>
        <v>0</v>
      </c>
      <c r="W28" s="42">
        <f>IFERROR(VLOOKUP(E28,Sheet2!$AE$1:$AF$975,2,FALSE),0)</f>
        <v>0</v>
      </c>
      <c r="X28" s="43">
        <f>IFERROR(VLOOKUP(E28,Sheet2!$AG$1:$AH$975,2,FALSE),0)</f>
        <v>0</v>
      </c>
      <c r="Z28" s="60">
        <f>IFERROR(VLOOKUP(F28,Sheet2!$AA$1:$AB$975,2,FALSE),0)</f>
        <v>0</v>
      </c>
      <c r="AA28" s="64">
        <f>IFERROR(VLOOKUP(F28,Sheet2!$AC$1:$AD$975,2,FALSE),0)</f>
        <v>0</v>
      </c>
      <c r="AB28" s="65">
        <f>IFERROR(VLOOKUP(F28,Sheet2!$AE$2:$AF$6539,2,FALSE),0)</f>
        <v>0</v>
      </c>
      <c r="AC28" s="43">
        <f>IFERROR(VLOOKUP(F28,Sheet2!$AG$2:$AH$6539,2,FALSE),0)</f>
        <v>0</v>
      </c>
      <c r="AE28" s="112">
        <v>12</v>
      </c>
      <c r="AF28" s="9">
        <v>6</v>
      </c>
      <c r="AG28" s="9">
        <v>0</v>
      </c>
      <c r="AH28" s="9">
        <v>0</v>
      </c>
      <c r="AI28" s="9">
        <v>6</v>
      </c>
      <c r="AJ28" s="9">
        <f t="shared" si="2"/>
        <v>18</v>
      </c>
      <c r="AK28" s="45">
        <f t="shared" si="3"/>
        <v>139.96800000000002</v>
      </c>
      <c r="AL28" s="68">
        <v>0</v>
      </c>
      <c r="AM28" s="68">
        <v>0</v>
      </c>
    </row>
    <row r="29" spans="1:39" x14ac:dyDescent="0.2">
      <c r="A29" s="57" t="s">
        <v>2082</v>
      </c>
      <c r="B29" s="47">
        <v>46173</v>
      </c>
      <c r="C29" s="48"/>
      <c r="D29" s="48" t="s">
        <v>1236</v>
      </c>
      <c r="E29" s="49" t="s">
        <v>86</v>
      </c>
      <c r="F29" s="49" t="s">
        <v>87</v>
      </c>
      <c r="G29" s="47" t="e">
        <v>#N/A</v>
      </c>
      <c r="H29" s="47" t="s">
        <v>22</v>
      </c>
      <c r="I29" s="9" t="s">
        <v>75</v>
      </c>
      <c r="J29" s="40" t="s">
        <v>1670</v>
      </c>
      <c r="K29" s="9" t="s">
        <v>41</v>
      </c>
      <c r="L29" s="40">
        <v>11</v>
      </c>
      <c r="M29" s="11"/>
      <c r="N29" s="11"/>
      <c r="O29" s="50">
        <v>7.7760000000000007</v>
      </c>
      <c r="R29" s="9">
        <f>IFERROR(VLOOKUP(E29,Sheet6!$A$2:$B$500,2,FALSE),0)</f>
        <v>0</v>
      </c>
      <c r="S29" s="41">
        <f>IFERROR(VLOOKUP(E29,Sheet6!$C$2:$D$35017,2,FALSE),0)</f>
        <v>0</v>
      </c>
      <c r="U29" s="9">
        <f>IFERROR(VLOOKUP(E29,Sheet2!$AA$1:$AB$975,2,FALSE),0)</f>
        <v>0</v>
      </c>
      <c r="V29" s="41">
        <f>IFERROR(VLOOKUP(E29,Sheet2!$AC$1:$AD$975,2,FALSE),0)</f>
        <v>0</v>
      </c>
      <c r="W29" s="42">
        <f>IFERROR(VLOOKUP(E29,Sheet2!$AE$1:$AF$975,2,FALSE),0)</f>
        <v>0</v>
      </c>
      <c r="X29" s="43">
        <f>IFERROR(VLOOKUP(E29,Sheet2!$AG$1:$AH$975,2,FALSE),0)</f>
        <v>0</v>
      </c>
      <c r="Z29" s="60">
        <f>IFERROR(VLOOKUP(F29,Sheet2!$AA$1:$AB$975,2,FALSE),0)</f>
        <v>0</v>
      </c>
      <c r="AA29" s="64">
        <f>IFERROR(VLOOKUP(F29,Sheet2!$AC$1:$AD$975,2,FALSE),0)</f>
        <v>0</v>
      </c>
      <c r="AB29" s="65">
        <f>IFERROR(VLOOKUP(F29,Sheet2!$AE$2:$AF$6539,2,FALSE),0)</f>
        <v>0</v>
      </c>
      <c r="AC29" s="43">
        <f>IFERROR(VLOOKUP(F29,Sheet2!$AG$2:$AH$6539,2,FALSE),0)</f>
        <v>0</v>
      </c>
      <c r="AE29" s="112">
        <v>26</v>
      </c>
      <c r="AF29" s="9">
        <v>6</v>
      </c>
      <c r="AG29" s="9">
        <v>0</v>
      </c>
      <c r="AH29" s="9">
        <v>0</v>
      </c>
      <c r="AI29" s="9">
        <v>6</v>
      </c>
      <c r="AJ29" s="9">
        <f t="shared" si="2"/>
        <v>32</v>
      </c>
      <c r="AK29" s="45">
        <f t="shared" si="3"/>
        <v>248.83200000000002</v>
      </c>
      <c r="AL29" s="68">
        <v>0</v>
      </c>
      <c r="AM29" s="68">
        <v>0</v>
      </c>
    </row>
    <row r="30" spans="1:39" x14ac:dyDescent="0.2">
      <c r="A30" s="57" t="s">
        <v>2082</v>
      </c>
      <c r="B30" s="47">
        <v>46173</v>
      </c>
      <c r="C30" s="48"/>
      <c r="D30" s="48" t="s">
        <v>1237</v>
      </c>
      <c r="E30" s="49" t="s">
        <v>88</v>
      </c>
      <c r="F30" s="49" t="s">
        <v>89</v>
      </c>
      <c r="G30" s="47" t="e">
        <v>#N/A</v>
      </c>
      <c r="H30" s="47" t="s">
        <v>22</v>
      </c>
      <c r="I30" s="9" t="s">
        <v>75</v>
      </c>
      <c r="J30" s="40" t="s">
        <v>1670</v>
      </c>
      <c r="K30" s="9" t="s">
        <v>41</v>
      </c>
      <c r="L30" s="40">
        <v>12</v>
      </c>
      <c r="M30" s="11"/>
      <c r="N30" s="11"/>
      <c r="O30" s="50">
        <v>7.7760000000000007</v>
      </c>
      <c r="R30" s="9">
        <f>IFERROR(VLOOKUP(E30,Sheet6!$A$2:$B$500,2,FALSE),0)</f>
        <v>0</v>
      </c>
      <c r="S30" s="41">
        <f>IFERROR(VLOOKUP(E30,Sheet6!$C$2:$D$35017,2,FALSE),0)</f>
        <v>0</v>
      </c>
      <c r="U30" s="9">
        <f>IFERROR(VLOOKUP(E30,Sheet2!$AA$1:$AB$975,2,FALSE),0)</f>
        <v>0</v>
      </c>
      <c r="V30" s="41">
        <f>IFERROR(VLOOKUP(E30,Sheet2!$AC$1:$AD$975,2,FALSE),0)</f>
        <v>0</v>
      </c>
      <c r="W30" s="42">
        <f>IFERROR(VLOOKUP(E30,Sheet2!$AE$1:$AF$975,2,FALSE),0)</f>
        <v>0</v>
      </c>
      <c r="X30" s="43">
        <f>IFERROR(VLOOKUP(E30,Sheet2!$AG$1:$AH$975,2,FALSE),0)</f>
        <v>0</v>
      </c>
      <c r="Z30" s="60">
        <f>IFERROR(VLOOKUP(F30,Sheet2!$AA$1:$AB$975,2,FALSE),0)</f>
        <v>0</v>
      </c>
      <c r="AA30" s="64">
        <f>IFERROR(VLOOKUP(F30,Sheet2!$AC$1:$AD$975,2,FALSE),0)</f>
        <v>0</v>
      </c>
      <c r="AB30" s="65">
        <f>IFERROR(VLOOKUP(F30,Sheet2!$AE$2:$AF$6539,2,FALSE),0)</f>
        <v>0</v>
      </c>
      <c r="AC30" s="43">
        <f>IFERROR(VLOOKUP(F30,Sheet2!$AG$2:$AH$6539,2,FALSE),0)</f>
        <v>0</v>
      </c>
      <c r="AE30" s="112">
        <v>19</v>
      </c>
      <c r="AF30" s="9">
        <v>18</v>
      </c>
      <c r="AG30" s="9">
        <v>0</v>
      </c>
      <c r="AH30" s="9">
        <v>0</v>
      </c>
      <c r="AI30" s="9">
        <v>18</v>
      </c>
      <c r="AJ30" s="9">
        <f t="shared" si="2"/>
        <v>37</v>
      </c>
      <c r="AK30" s="45">
        <f t="shared" si="3"/>
        <v>287.71200000000005</v>
      </c>
      <c r="AL30" s="68">
        <v>0</v>
      </c>
      <c r="AM30" s="68">
        <v>0</v>
      </c>
    </row>
    <row r="31" spans="1:39" x14ac:dyDescent="0.2">
      <c r="A31" s="57" t="s">
        <v>2082</v>
      </c>
      <c r="B31" s="47">
        <v>46173</v>
      </c>
      <c r="C31" s="48"/>
      <c r="D31" s="48" t="s">
        <v>1238</v>
      </c>
      <c r="E31" s="49" t="s">
        <v>90</v>
      </c>
      <c r="F31" s="49" t="s">
        <v>91</v>
      </c>
      <c r="G31" s="47" t="e">
        <v>#N/A</v>
      </c>
      <c r="H31" s="47" t="s">
        <v>22</v>
      </c>
      <c r="I31" s="9" t="s">
        <v>75</v>
      </c>
      <c r="J31" s="40" t="s">
        <v>1670</v>
      </c>
      <c r="K31" s="9" t="s">
        <v>41</v>
      </c>
      <c r="L31" s="40">
        <v>13</v>
      </c>
      <c r="M31" s="11"/>
      <c r="N31" s="11"/>
      <c r="O31" s="50">
        <v>7.7760000000000007</v>
      </c>
      <c r="R31" s="9">
        <f>IFERROR(VLOOKUP(E31,Sheet6!$A$2:$B$500,2,FALSE),0)</f>
        <v>0</v>
      </c>
      <c r="S31" s="41">
        <f>IFERROR(VLOOKUP(E31,Sheet6!$C$2:$D$35017,2,FALSE),0)</f>
        <v>0</v>
      </c>
      <c r="U31" s="9">
        <f>IFERROR(VLOOKUP(E31,Sheet2!$AA$1:$AB$975,2,FALSE),0)</f>
        <v>0</v>
      </c>
      <c r="V31" s="41">
        <f>IFERROR(VLOOKUP(E31,Sheet2!$AC$1:$AD$975,2,FALSE),0)</f>
        <v>0</v>
      </c>
      <c r="W31" s="42">
        <f>IFERROR(VLOOKUP(E31,Sheet2!$AE$1:$AF$975,2,FALSE),0)</f>
        <v>0</v>
      </c>
      <c r="X31" s="43">
        <f>IFERROR(VLOOKUP(E31,Sheet2!$AG$1:$AH$975,2,FALSE),0)</f>
        <v>0</v>
      </c>
      <c r="Z31" s="60">
        <f>IFERROR(VLOOKUP(F31,Sheet2!$AA$1:$AB$975,2,FALSE),0)</f>
        <v>0</v>
      </c>
      <c r="AA31" s="64">
        <f>IFERROR(VLOOKUP(F31,Sheet2!$AC$1:$AD$975,2,FALSE),0)</f>
        <v>0</v>
      </c>
      <c r="AB31" s="65">
        <f>IFERROR(VLOOKUP(F31,Sheet2!$AE$2:$AF$6539,2,FALSE),0)</f>
        <v>0</v>
      </c>
      <c r="AC31" s="43">
        <f>IFERROR(VLOOKUP(F31,Sheet2!$AG$2:$AH$6539,2,FALSE),0)</f>
        <v>0</v>
      </c>
      <c r="AE31" s="112">
        <v>63</v>
      </c>
      <c r="AF31" s="9">
        <v>2</v>
      </c>
      <c r="AG31" s="9">
        <v>0</v>
      </c>
      <c r="AH31" s="9">
        <v>0</v>
      </c>
      <c r="AI31" s="9">
        <v>2</v>
      </c>
      <c r="AJ31" s="9">
        <f t="shared" si="2"/>
        <v>65</v>
      </c>
      <c r="AK31" s="45">
        <f t="shared" si="3"/>
        <v>505.44000000000005</v>
      </c>
      <c r="AL31" s="68">
        <v>0</v>
      </c>
      <c r="AM31" s="68">
        <v>0</v>
      </c>
    </row>
    <row r="32" spans="1:39" x14ac:dyDescent="0.2">
      <c r="A32" s="57" t="s">
        <v>2082</v>
      </c>
      <c r="B32" s="47">
        <v>46173</v>
      </c>
      <c r="C32" s="48"/>
      <c r="D32" s="48" t="s">
        <v>1239</v>
      </c>
      <c r="E32" s="49" t="s">
        <v>92</v>
      </c>
      <c r="F32" s="49" t="s">
        <v>93</v>
      </c>
      <c r="G32" s="47" t="e">
        <v>#N/A</v>
      </c>
      <c r="H32" s="47" t="s">
        <v>94</v>
      </c>
      <c r="I32" s="9" t="s">
        <v>95</v>
      </c>
      <c r="J32" s="40" t="s">
        <v>1827</v>
      </c>
      <c r="K32" s="9" t="s">
        <v>24</v>
      </c>
      <c r="L32" s="9" t="s">
        <v>96</v>
      </c>
      <c r="M32" s="11"/>
      <c r="N32" s="11"/>
      <c r="O32" s="50">
        <v>8.64</v>
      </c>
      <c r="R32" s="9">
        <f>IFERROR(VLOOKUP(E32,Sheet6!$A$2:$B$500,2,FALSE),0)</f>
        <v>0</v>
      </c>
      <c r="S32" s="41">
        <f>IFERROR(VLOOKUP(E32,Sheet6!$C$2:$D$35017,2,FALSE),0)</f>
        <v>0</v>
      </c>
      <c r="U32" s="9">
        <f>IFERROR(VLOOKUP(E32,Sheet2!$AA$1:$AB$975,2,FALSE),0)</f>
        <v>0</v>
      </c>
      <c r="V32" s="41">
        <f>IFERROR(VLOOKUP(E32,Sheet2!$AC$1:$AD$975,2,FALSE),0)</f>
        <v>0</v>
      </c>
      <c r="W32" s="42">
        <f>IFERROR(VLOOKUP(E32,Sheet2!$AE$1:$AF$975,2,FALSE),0)</f>
        <v>0</v>
      </c>
      <c r="X32" s="43">
        <f>IFERROR(VLOOKUP(E32,Sheet2!$AG$1:$AH$975,2,FALSE),0)</f>
        <v>0</v>
      </c>
      <c r="Z32" s="60">
        <f>IFERROR(VLOOKUP(F32,Sheet2!$AA$1:$AB$975,2,FALSE),0)</f>
        <v>11</v>
      </c>
      <c r="AA32" s="64">
        <f>IFERROR(VLOOKUP(F32,Sheet2!$AC$1:$AD$975,2,FALSE),0)</f>
        <v>219.89</v>
      </c>
      <c r="AB32" s="65">
        <f>IFERROR(VLOOKUP(F32,Sheet2!$AE$2:$AF$6539,2,FALSE),0)</f>
        <v>69</v>
      </c>
      <c r="AC32" s="43">
        <f>IFERROR(VLOOKUP(F32,Sheet2!$AG$2:$AH$6539,2,FALSE),0)</f>
        <v>1</v>
      </c>
      <c r="AE32" s="112">
        <v>0</v>
      </c>
      <c r="AF32" s="9">
        <v>13</v>
      </c>
      <c r="AG32" s="9">
        <v>0</v>
      </c>
      <c r="AH32" s="9">
        <v>0</v>
      </c>
      <c r="AI32" s="9">
        <v>13</v>
      </c>
      <c r="AJ32" s="9">
        <f t="shared" si="2"/>
        <v>13</v>
      </c>
      <c r="AK32" s="45">
        <f t="shared" si="3"/>
        <v>112.32000000000001</v>
      </c>
      <c r="AL32" s="68">
        <v>12</v>
      </c>
      <c r="AM32" s="68">
        <v>12</v>
      </c>
    </row>
    <row r="33" spans="1:39" x14ac:dyDescent="0.2">
      <c r="A33" s="57" t="s">
        <v>2082</v>
      </c>
      <c r="B33" s="47">
        <v>46173</v>
      </c>
      <c r="C33" s="48"/>
      <c r="D33" s="48" t="s">
        <v>1240</v>
      </c>
      <c r="E33" s="49" t="s">
        <v>1207</v>
      </c>
      <c r="F33" s="49" t="s">
        <v>1648</v>
      </c>
      <c r="G33" s="47" t="e">
        <v>#N/A</v>
      </c>
      <c r="H33" s="47" t="s">
        <v>94</v>
      </c>
      <c r="I33" s="9" t="s">
        <v>95</v>
      </c>
      <c r="J33" s="40" t="s">
        <v>1827</v>
      </c>
      <c r="K33" s="9" t="s">
        <v>24</v>
      </c>
      <c r="L33" s="9" t="s">
        <v>32</v>
      </c>
      <c r="M33" s="11"/>
      <c r="N33" s="11"/>
      <c r="O33" s="50">
        <v>8.64</v>
      </c>
      <c r="R33" s="9">
        <f>IFERROR(VLOOKUP(E33,Sheet6!$A$2:$B$500,2,FALSE),0)</f>
        <v>0</v>
      </c>
      <c r="S33" s="41">
        <f>IFERROR(VLOOKUP(E33,Sheet6!$C$2:$D$35017,2,FALSE),0)</f>
        <v>0</v>
      </c>
      <c r="U33" s="9">
        <f>IFERROR(VLOOKUP(E33,Sheet2!$AA$1:$AB$975,2,FALSE),0)</f>
        <v>0</v>
      </c>
      <c r="V33" s="41">
        <f>IFERROR(VLOOKUP(E33,Sheet2!$AC$1:$AD$975,2,FALSE),0)</f>
        <v>0</v>
      </c>
      <c r="W33" s="42">
        <f>IFERROR(VLOOKUP(E33,Sheet2!$AE$1:$AF$975,2,FALSE),0)</f>
        <v>0</v>
      </c>
      <c r="X33" s="43">
        <f>IFERROR(VLOOKUP(E33,Sheet2!$AG$1:$AH$975,2,FALSE),0)</f>
        <v>0</v>
      </c>
      <c r="Z33" s="60">
        <f>IFERROR(VLOOKUP(F33,Sheet2!$AA$1:$AB$975,2,FALSE),0)</f>
        <v>12</v>
      </c>
      <c r="AA33" s="64">
        <f>IFERROR(VLOOKUP(F33,Sheet2!$AC$1:$AD$975,2,FALSE),0)</f>
        <v>239.88</v>
      </c>
      <c r="AB33" s="65">
        <f>IFERROR(VLOOKUP(F33,Sheet2!$AE$2:$AF$6539,2,FALSE),0)</f>
        <v>103</v>
      </c>
      <c r="AC33" s="43">
        <f>IFERROR(VLOOKUP(F33,Sheet2!$AG$2:$AH$6539,2,FALSE),0)</f>
        <v>0.7823</v>
      </c>
      <c r="AE33" s="112">
        <v>24</v>
      </c>
      <c r="AF33" s="9">
        <v>1</v>
      </c>
      <c r="AG33" s="9">
        <v>6</v>
      </c>
      <c r="AH33" s="9">
        <v>1</v>
      </c>
      <c r="AI33" s="9">
        <v>8</v>
      </c>
      <c r="AJ33" s="9">
        <f t="shared" si="2"/>
        <v>32</v>
      </c>
      <c r="AK33" s="45">
        <f t="shared" si="3"/>
        <v>276.48</v>
      </c>
      <c r="AL33" s="68">
        <v>12</v>
      </c>
      <c r="AM33" s="68">
        <v>30</v>
      </c>
    </row>
    <row r="34" spans="1:39" x14ac:dyDescent="0.2">
      <c r="A34" s="57" t="s">
        <v>2082</v>
      </c>
      <c r="B34" s="47">
        <v>46173</v>
      </c>
      <c r="C34" s="48"/>
      <c r="D34" s="48" t="s">
        <v>1241</v>
      </c>
      <c r="E34" s="49" t="s">
        <v>97</v>
      </c>
      <c r="F34" s="49" t="s">
        <v>98</v>
      </c>
      <c r="G34" s="47" t="e">
        <v>#N/A</v>
      </c>
      <c r="H34" s="47" t="s">
        <v>94</v>
      </c>
      <c r="I34" s="9" t="s">
        <v>95</v>
      </c>
      <c r="J34" s="40" t="s">
        <v>1827</v>
      </c>
      <c r="K34" s="9" t="s">
        <v>24</v>
      </c>
      <c r="L34" s="9" t="s">
        <v>35</v>
      </c>
      <c r="M34" s="11"/>
      <c r="N34" s="11"/>
      <c r="O34" s="50">
        <v>8.64</v>
      </c>
      <c r="R34" s="9">
        <f>IFERROR(VLOOKUP(E34,Sheet6!$A$2:$B$500,2,FALSE),0)</f>
        <v>0</v>
      </c>
      <c r="S34" s="41">
        <f>IFERROR(VLOOKUP(E34,Sheet6!$C$2:$D$35017,2,FALSE),0)</f>
        <v>0</v>
      </c>
      <c r="U34" s="9">
        <f>IFERROR(VLOOKUP(E34,Sheet2!$AA$1:$AB$975,2,FALSE),0)</f>
        <v>0</v>
      </c>
      <c r="V34" s="41">
        <f>IFERROR(VLOOKUP(E34,Sheet2!$AC$1:$AD$975,2,FALSE),0)</f>
        <v>0</v>
      </c>
      <c r="W34" s="42">
        <f>IFERROR(VLOOKUP(E34,Sheet2!$AE$1:$AF$975,2,FALSE),0)</f>
        <v>0</v>
      </c>
      <c r="X34" s="43">
        <f>IFERROR(VLOOKUP(E34,Sheet2!$AG$1:$AH$975,2,FALSE),0)</f>
        <v>0</v>
      </c>
      <c r="Z34" s="60">
        <f>IFERROR(VLOOKUP(F34,Sheet2!$AA$1:$AB$975,2,FALSE),0)</f>
        <v>4</v>
      </c>
      <c r="AA34" s="64">
        <f>IFERROR(VLOOKUP(F34,Sheet2!$AC$1:$AD$975,2,FALSE),0)</f>
        <v>79.959999999999994</v>
      </c>
      <c r="AB34" s="65">
        <f>IFERROR(VLOOKUP(F34,Sheet2!$AE$2:$AF$6539,2,FALSE),0)</f>
        <v>42</v>
      </c>
      <c r="AC34" s="43">
        <f>IFERROR(VLOOKUP(F34,Sheet2!$AG$2:$AH$6539,2,FALSE),0)</f>
        <v>0.2157</v>
      </c>
      <c r="AE34" s="112">
        <v>3</v>
      </c>
      <c r="AF34" s="9">
        <v>2</v>
      </c>
      <c r="AG34" s="9">
        <v>0</v>
      </c>
      <c r="AH34" s="9">
        <v>0</v>
      </c>
      <c r="AI34" s="9">
        <v>2</v>
      </c>
      <c r="AJ34" s="9">
        <f t="shared" si="2"/>
        <v>5</v>
      </c>
      <c r="AK34" s="45">
        <f t="shared" si="3"/>
        <v>43.2</v>
      </c>
      <c r="AL34" s="68">
        <v>6</v>
      </c>
      <c r="AM34" s="68">
        <v>0</v>
      </c>
    </row>
    <row r="35" spans="1:39" x14ac:dyDescent="0.2">
      <c r="A35" s="57" t="s">
        <v>2082</v>
      </c>
      <c r="B35" s="47">
        <v>46173</v>
      </c>
      <c r="C35" s="48"/>
      <c r="D35" s="48" t="s">
        <v>1242</v>
      </c>
      <c r="E35" s="49" t="s">
        <v>1208</v>
      </c>
      <c r="F35" s="49" t="s">
        <v>1649</v>
      </c>
      <c r="G35" s="47" t="e">
        <v>#N/A</v>
      </c>
      <c r="H35" s="47" t="s">
        <v>22</v>
      </c>
      <c r="I35" s="9" t="s">
        <v>95</v>
      </c>
      <c r="J35" s="40" t="s">
        <v>1827</v>
      </c>
      <c r="K35" s="9" t="s">
        <v>41</v>
      </c>
      <c r="L35" s="9" t="s">
        <v>29</v>
      </c>
      <c r="M35" s="11"/>
      <c r="N35" s="11"/>
      <c r="O35" s="50">
        <v>8.64</v>
      </c>
      <c r="R35" s="9">
        <f>IFERROR(VLOOKUP(E35,Sheet6!$A$2:$B$500,2,FALSE),0)</f>
        <v>0</v>
      </c>
      <c r="S35" s="41">
        <f>IFERROR(VLOOKUP(E35,Sheet6!$C$2:$D$35017,2,FALSE),0)</f>
        <v>0</v>
      </c>
      <c r="U35" s="9">
        <f>IFERROR(VLOOKUP(E35,Sheet2!$AA$1:$AB$975,2,FALSE),0)</f>
        <v>0</v>
      </c>
      <c r="V35" s="41">
        <f>IFERROR(VLOOKUP(E35,Sheet2!$AC$1:$AD$975,2,FALSE),0)</f>
        <v>0</v>
      </c>
      <c r="W35" s="42">
        <f>IFERROR(VLOOKUP(E35,Sheet2!$AE$1:$AF$975,2,FALSE),0)</f>
        <v>0</v>
      </c>
      <c r="X35" s="43">
        <f>IFERROR(VLOOKUP(E35,Sheet2!$AG$1:$AH$975,2,FALSE),0)</f>
        <v>0</v>
      </c>
      <c r="Z35" s="60">
        <f>IFERROR(VLOOKUP(F35,Sheet2!$AA$1:$AB$975,2,FALSE),0)</f>
        <v>1</v>
      </c>
      <c r="AA35" s="64">
        <f>IFERROR(VLOOKUP(F35,Sheet2!$AC$1:$AD$975,2,FALSE),0)</f>
        <v>19.989999999999998</v>
      </c>
      <c r="AB35" s="65">
        <f>IFERROR(VLOOKUP(F35,Sheet2!$AE$2:$AF$6539,2,FALSE),0)</f>
        <v>26</v>
      </c>
      <c r="AC35" s="43">
        <f>IFERROR(VLOOKUP(F35,Sheet2!$AG$2:$AH$6539,2,FALSE),0)</f>
        <v>0.42859999999999998</v>
      </c>
      <c r="AE35" s="112">
        <v>15</v>
      </c>
      <c r="AF35" s="9">
        <v>23</v>
      </c>
      <c r="AG35" s="9">
        <v>0</v>
      </c>
      <c r="AH35" s="9">
        <v>1</v>
      </c>
      <c r="AI35" s="9">
        <v>24</v>
      </c>
      <c r="AJ35" s="9">
        <f t="shared" si="2"/>
        <v>39</v>
      </c>
      <c r="AK35" s="45">
        <f t="shared" si="3"/>
        <v>336.96000000000004</v>
      </c>
      <c r="AL35" s="68">
        <v>0</v>
      </c>
      <c r="AM35" s="68">
        <v>0</v>
      </c>
    </row>
    <row r="36" spans="1:39" x14ac:dyDescent="0.2">
      <c r="A36" s="57" t="s">
        <v>2082</v>
      </c>
      <c r="B36" s="47">
        <v>46173</v>
      </c>
      <c r="C36" s="48"/>
      <c r="D36" s="48" t="s">
        <v>1243</v>
      </c>
      <c r="E36" s="49" t="s">
        <v>99</v>
      </c>
      <c r="F36" s="49" t="s">
        <v>100</v>
      </c>
      <c r="G36" s="47" t="s">
        <v>956</v>
      </c>
      <c r="H36" s="47" t="s">
        <v>22</v>
      </c>
      <c r="I36" s="9" t="s">
        <v>95</v>
      </c>
      <c r="J36" s="40" t="s">
        <v>1827</v>
      </c>
      <c r="K36" s="9" t="s">
        <v>41</v>
      </c>
      <c r="L36" s="9" t="s">
        <v>32</v>
      </c>
      <c r="M36" s="11"/>
      <c r="N36" s="11"/>
      <c r="O36" s="50">
        <v>8.64</v>
      </c>
      <c r="R36" s="9">
        <f>IFERROR(VLOOKUP(E36,Sheet6!$A$2:$B$500,2,FALSE),0)</f>
        <v>0</v>
      </c>
      <c r="S36" s="41">
        <f>IFERROR(VLOOKUP(E36,Sheet6!$C$2:$D$35017,2,FALSE),0)</f>
        <v>0</v>
      </c>
      <c r="U36" s="9">
        <f>IFERROR(VLOOKUP(E36,Sheet2!$AA$1:$AB$975,2,FALSE),0)</f>
        <v>0</v>
      </c>
      <c r="V36" s="41">
        <f>IFERROR(VLOOKUP(E36,Sheet2!$AC$1:$AD$975,2,FALSE),0)</f>
        <v>0</v>
      </c>
      <c r="W36" s="42">
        <f>IFERROR(VLOOKUP(E36,Sheet2!$AE$1:$AF$975,2,FALSE),0)</f>
        <v>0</v>
      </c>
      <c r="X36" s="43">
        <f>IFERROR(VLOOKUP(E36,Sheet2!$AG$1:$AH$975,2,FALSE),0)</f>
        <v>0</v>
      </c>
      <c r="Z36" s="60">
        <f>IFERROR(VLOOKUP(F36,Sheet2!$AA$1:$AB$975,2,FALSE),0)</f>
        <v>1</v>
      </c>
      <c r="AA36" s="64">
        <f>IFERROR(VLOOKUP(F36,Sheet2!$AC$1:$AD$975,2,FALSE),0)</f>
        <v>19.989999999999998</v>
      </c>
      <c r="AB36" s="65">
        <f>IFERROR(VLOOKUP(F36,Sheet2!$AE$2:$AF$6539,2,FALSE),0)</f>
        <v>25</v>
      </c>
      <c r="AC36" s="43">
        <f>IFERROR(VLOOKUP(F36,Sheet2!$AG$2:$AH$6539,2,FALSE),0)</f>
        <v>0.3</v>
      </c>
      <c r="AE36" s="112">
        <v>27</v>
      </c>
      <c r="AF36" s="9">
        <v>1</v>
      </c>
      <c r="AG36" s="9">
        <v>0</v>
      </c>
      <c r="AH36" s="9">
        <v>0</v>
      </c>
      <c r="AI36" s="9">
        <v>1</v>
      </c>
      <c r="AJ36" s="9">
        <f t="shared" si="2"/>
        <v>28</v>
      </c>
      <c r="AK36" s="45">
        <f t="shared" si="3"/>
        <v>241.92000000000002</v>
      </c>
      <c r="AL36" s="68">
        <v>12</v>
      </c>
      <c r="AM36" s="68">
        <v>12</v>
      </c>
    </row>
    <row r="37" spans="1:39" x14ac:dyDescent="0.2">
      <c r="A37" s="57" t="s">
        <v>2082</v>
      </c>
      <c r="B37" s="47">
        <v>46173</v>
      </c>
      <c r="C37" s="48"/>
      <c r="D37" s="48" t="s">
        <v>1244</v>
      </c>
      <c r="E37" s="49" t="s">
        <v>101</v>
      </c>
      <c r="F37" s="49" t="s">
        <v>102</v>
      </c>
      <c r="G37" s="47" t="e">
        <v>#N/A</v>
      </c>
      <c r="H37" s="47" t="s">
        <v>22</v>
      </c>
      <c r="I37" s="40" t="s">
        <v>103</v>
      </c>
      <c r="J37" s="40" t="s">
        <v>1660</v>
      </c>
      <c r="K37" s="40" t="s">
        <v>24</v>
      </c>
      <c r="L37" s="40" t="s">
        <v>29</v>
      </c>
      <c r="M37" s="11"/>
      <c r="N37" s="11"/>
      <c r="O37" s="50">
        <v>6.048</v>
      </c>
      <c r="R37" s="9">
        <f>IFERROR(VLOOKUP(E37,Sheet6!$A$2:$B$500,2,FALSE),0)</f>
        <v>0</v>
      </c>
      <c r="S37" s="41">
        <f>IFERROR(VLOOKUP(E37,Sheet6!$C$2:$D$35017,2,FALSE),0)</f>
        <v>0</v>
      </c>
      <c r="U37" s="9">
        <f>IFERROR(VLOOKUP(E37,Sheet2!$AA$1:$AB$975,2,FALSE),0)</f>
        <v>0</v>
      </c>
      <c r="V37" s="41">
        <f>IFERROR(VLOOKUP(E37,Sheet2!$AC$1:$AD$975,2,FALSE),0)</f>
        <v>0</v>
      </c>
      <c r="W37" s="42">
        <f>IFERROR(VLOOKUP(E37,Sheet2!$AE$1:$AF$975,2,FALSE),0)</f>
        <v>0</v>
      </c>
      <c r="X37" s="43">
        <f>IFERROR(VLOOKUP(E37,Sheet2!$AG$1:$AH$975,2,FALSE),0)</f>
        <v>0</v>
      </c>
      <c r="Z37" s="60">
        <f>IFERROR(VLOOKUP(F37,Sheet2!$AA$1:$AB$975,2,FALSE),0)</f>
        <v>0</v>
      </c>
      <c r="AA37" s="64">
        <f>IFERROR(VLOOKUP(F37,Sheet2!$AC$1:$AD$975,2,FALSE),0)</f>
        <v>0</v>
      </c>
      <c r="AB37" s="65">
        <f>IFERROR(VLOOKUP(F37,Sheet2!$AE$2:$AF$6539,2,FALSE),0)</f>
        <v>0</v>
      </c>
      <c r="AC37" s="43">
        <f>IFERROR(VLOOKUP(F37,Sheet2!$AG$2:$AH$6539,2,FALSE),0)</f>
        <v>0</v>
      </c>
      <c r="AE37" s="112">
        <v>67</v>
      </c>
      <c r="AF37" s="9">
        <v>0</v>
      </c>
      <c r="AG37" s="9">
        <v>0</v>
      </c>
      <c r="AH37" s="9">
        <v>0</v>
      </c>
      <c r="AI37" s="9">
        <v>0</v>
      </c>
      <c r="AJ37" s="9">
        <f t="shared" si="2"/>
        <v>67</v>
      </c>
      <c r="AK37" s="45">
        <f t="shared" si="3"/>
        <v>405.21600000000001</v>
      </c>
      <c r="AL37" s="68">
        <v>0</v>
      </c>
      <c r="AM37" s="68">
        <v>0</v>
      </c>
    </row>
    <row r="38" spans="1:39" x14ac:dyDescent="0.2">
      <c r="A38" s="57" t="s">
        <v>2082</v>
      </c>
      <c r="B38" s="47">
        <v>46173</v>
      </c>
      <c r="C38" s="48"/>
      <c r="D38" s="48" t="s">
        <v>1245</v>
      </c>
      <c r="E38" s="49" t="s">
        <v>104</v>
      </c>
      <c r="F38" s="49" t="s">
        <v>105</v>
      </c>
      <c r="G38" s="47" t="e">
        <v>#N/A</v>
      </c>
      <c r="H38" s="47" t="s">
        <v>94</v>
      </c>
      <c r="I38" s="40" t="s">
        <v>103</v>
      </c>
      <c r="J38" s="40" t="s">
        <v>1660</v>
      </c>
      <c r="K38" s="40" t="s">
        <v>24</v>
      </c>
      <c r="L38" s="40" t="s">
        <v>32</v>
      </c>
      <c r="M38" s="11"/>
      <c r="N38" s="11"/>
      <c r="O38" s="50">
        <v>6.048</v>
      </c>
      <c r="R38" s="9">
        <f>IFERROR(VLOOKUP(E38,Sheet6!$A$2:$B$500,2,FALSE),0)</f>
        <v>5</v>
      </c>
      <c r="S38" s="41">
        <f>IFERROR(VLOOKUP(E38,Sheet6!$C$2:$D$35017,2,FALSE),0)</f>
        <v>65.8</v>
      </c>
      <c r="U38" s="9">
        <f>IFERROR(VLOOKUP(E38,Sheet2!$AA$1:$AB$975,2,FALSE),0)</f>
        <v>0</v>
      </c>
      <c r="V38" s="41">
        <f>IFERROR(VLOOKUP(E38,Sheet2!$AC$1:$AD$975,2,FALSE),0)</f>
        <v>0</v>
      </c>
      <c r="W38" s="42">
        <f>IFERROR(VLOOKUP(E38,Sheet2!$AE$1:$AF$975,2,FALSE),0)</f>
        <v>0</v>
      </c>
      <c r="X38" s="43">
        <f>IFERROR(VLOOKUP(E38,Sheet2!$AG$1:$AH$975,2,FALSE),0)</f>
        <v>0</v>
      </c>
      <c r="Z38" s="60">
        <f>IFERROR(VLOOKUP(F38,Sheet2!$AA$1:$AB$975,2,FALSE),0)</f>
        <v>0</v>
      </c>
      <c r="AA38" s="64">
        <f>IFERROR(VLOOKUP(F38,Sheet2!$AC$1:$AD$975,2,FALSE),0)</f>
        <v>0</v>
      </c>
      <c r="AB38" s="65">
        <f>IFERROR(VLOOKUP(F38,Sheet2!$AE$2:$AF$6539,2,FALSE),0)</f>
        <v>0</v>
      </c>
      <c r="AC38" s="43">
        <f>IFERROR(VLOOKUP(F38,Sheet2!$AG$2:$AH$6539,2,FALSE),0)</f>
        <v>0</v>
      </c>
      <c r="AE38" s="112">
        <v>69</v>
      </c>
      <c r="AF38" s="9">
        <v>0</v>
      </c>
      <c r="AG38" s="9">
        <v>0</v>
      </c>
      <c r="AH38" s="9">
        <v>0</v>
      </c>
      <c r="AI38" s="9">
        <v>0</v>
      </c>
      <c r="AJ38" s="9">
        <f t="shared" si="2"/>
        <v>69</v>
      </c>
      <c r="AK38" s="45">
        <f t="shared" si="3"/>
        <v>417.31200000000001</v>
      </c>
      <c r="AL38" s="68">
        <v>0</v>
      </c>
      <c r="AM38" s="68">
        <v>0</v>
      </c>
    </row>
    <row r="39" spans="1:39" x14ac:dyDescent="0.2">
      <c r="A39" s="57" t="s">
        <v>2082</v>
      </c>
      <c r="B39" s="47">
        <v>46173</v>
      </c>
      <c r="C39" s="48"/>
      <c r="D39" s="48" t="s">
        <v>1246</v>
      </c>
      <c r="E39" s="49" t="s">
        <v>106</v>
      </c>
      <c r="F39" s="49" t="s">
        <v>107</v>
      </c>
      <c r="G39" s="47" t="e">
        <v>#N/A</v>
      </c>
      <c r="H39" s="47" t="s">
        <v>94</v>
      </c>
      <c r="I39" s="40" t="s">
        <v>103</v>
      </c>
      <c r="J39" s="40" t="s">
        <v>1660</v>
      </c>
      <c r="K39" s="40" t="s">
        <v>24</v>
      </c>
      <c r="L39" s="40" t="s">
        <v>35</v>
      </c>
      <c r="M39" s="11"/>
      <c r="N39" s="11"/>
      <c r="O39" s="50">
        <v>6.048</v>
      </c>
      <c r="R39" s="9">
        <f>IFERROR(VLOOKUP(E39,Sheet6!$A$2:$B$500,2,FALSE),0)</f>
        <v>0</v>
      </c>
      <c r="S39" s="41">
        <f>IFERROR(VLOOKUP(E39,Sheet6!$C$2:$D$35017,2,FALSE),0)</f>
        <v>0</v>
      </c>
      <c r="U39" s="9">
        <f>IFERROR(VLOOKUP(E39,Sheet2!$AA$1:$AB$975,2,FALSE),0)</f>
        <v>2</v>
      </c>
      <c r="V39" s="41">
        <f>IFERROR(VLOOKUP(E39,Sheet2!$AC$1:$AD$975,2,FALSE),0)</f>
        <v>28</v>
      </c>
      <c r="W39" s="42">
        <f>IFERROR(VLOOKUP(E39,Sheet2!$AE$1:$AF$975,2,FALSE),0)</f>
        <v>84</v>
      </c>
      <c r="X39" s="43">
        <f>IFERROR(VLOOKUP(E39,Sheet2!$AG$1:$AH$975,2,FALSE),0)</f>
        <v>0.99019999999999997</v>
      </c>
      <c r="Z39" s="60">
        <f>IFERROR(VLOOKUP(F39,Sheet2!$AA$1:$AB$975,2,FALSE),0)</f>
        <v>0</v>
      </c>
      <c r="AA39" s="64">
        <f>IFERROR(VLOOKUP(F39,Sheet2!$AC$1:$AD$975,2,FALSE),0)</f>
        <v>0</v>
      </c>
      <c r="AB39" s="65">
        <f>IFERROR(VLOOKUP(F39,Sheet2!$AE$2:$AF$6539,2,FALSE),0)</f>
        <v>0</v>
      </c>
      <c r="AC39" s="43">
        <f>IFERROR(VLOOKUP(F39,Sheet2!$AG$2:$AH$6539,2,FALSE),0)</f>
        <v>0</v>
      </c>
      <c r="AE39" s="112">
        <v>11</v>
      </c>
      <c r="AF39" s="9">
        <v>0</v>
      </c>
      <c r="AG39" s="9">
        <v>0</v>
      </c>
      <c r="AH39" s="9">
        <v>0</v>
      </c>
      <c r="AI39" s="9">
        <v>0</v>
      </c>
      <c r="AJ39" s="9">
        <f t="shared" si="2"/>
        <v>11</v>
      </c>
      <c r="AK39" s="45">
        <f t="shared" si="3"/>
        <v>66.528000000000006</v>
      </c>
      <c r="AL39" s="68">
        <v>0</v>
      </c>
      <c r="AM39" s="68">
        <v>0</v>
      </c>
    </row>
    <row r="40" spans="1:39" x14ac:dyDescent="0.2">
      <c r="A40" s="57" t="s">
        <v>2082</v>
      </c>
      <c r="B40" s="47">
        <v>46173</v>
      </c>
      <c r="C40" s="48"/>
      <c r="D40" s="48" t="s">
        <v>1247</v>
      </c>
      <c r="E40" s="49" t="s">
        <v>108</v>
      </c>
      <c r="F40" s="49" t="s">
        <v>109</v>
      </c>
      <c r="G40" s="47" t="e">
        <v>#N/A</v>
      </c>
      <c r="H40" s="47" t="s">
        <v>94</v>
      </c>
      <c r="I40" s="40" t="s">
        <v>110</v>
      </c>
      <c r="J40" s="40" t="s">
        <v>1659</v>
      </c>
      <c r="K40" s="40" t="s">
        <v>111</v>
      </c>
      <c r="L40" s="40" t="s">
        <v>29</v>
      </c>
      <c r="M40" s="11"/>
      <c r="N40" s="11"/>
      <c r="O40" s="50">
        <v>9.9</v>
      </c>
      <c r="R40" s="9">
        <f>IFERROR(VLOOKUP(E40,Sheet6!$A$2:$B$500,2,FALSE),0)</f>
        <v>2</v>
      </c>
      <c r="S40" s="41">
        <f>IFERROR(VLOOKUP(E40,Sheet6!$C$2:$D$35017,2,FALSE),0)</f>
        <v>44</v>
      </c>
      <c r="U40" s="9">
        <f>IFERROR(VLOOKUP(E40,Sheet2!$AA$1:$AB$975,2,FALSE),0)</f>
        <v>0</v>
      </c>
      <c r="V40" s="41">
        <f>IFERROR(VLOOKUP(E40,Sheet2!$AC$1:$AD$975,2,FALSE),0)</f>
        <v>0</v>
      </c>
      <c r="W40" s="42">
        <f>IFERROR(VLOOKUP(E40,Sheet2!$AE$1:$AF$975,2,FALSE),0)</f>
        <v>0</v>
      </c>
      <c r="X40" s="43">
        <f>IFERROR(VLOOKUP(E40,Sheet2!$AG$1:$AH$975,2,FALSE),0)</f>
        <v>0</v>
      </c>
      <c r="Z40" s="60">
        <f>IFERROR(VLOOKUP(F40,Sheet2!$AA$1:$AB$975,2,FALSE),0)</f>
        <v>32</v>
      </c>
      <c r="AA40" s="64">
        <f>IFERROR(VLOOKUP(F40,Sheet2!$AC$1:$AD$975,2,FALSE),0)</f>
        <v>703.68</v>
      </c>
      <c r="AB40" s="65">
        <f>IFERROR(VLOOKUP(F40,Sheet2!$AE$2:$AF$6539,2,FALSE),0)</f>
        <v>88</v>
      </c>
      <c r="AC40" s="43">
        <f>IFERROR(VLOOKUP(F40,Sheet2!$AG$2:$AH$6539,2,FALSE),0)</f>
        <v>0.91159999999999997</v>
      </c>
      <c r="AE40" s="112">
        <v>34</v>
      </c>
      <c r="AF40" s="9">
        <v>64</v>
      </c>
      <c r="AG40" s="9">
        <v>0</v>
      </c>
      <c r="AH40" s="9">
        <v>1</v>
      </c>
      <c r="AI40" s="9">
        <v>65</v>
      </c>
      <c r="AJ40" s="9">
        <f t="shared" si="2"/>
        <v>99</v>
      </c>
      <c r="AK40" s="45">
        <f t="shared" si="3"/>
        <v>980.1</v>
      </c>
      <c r="AL40" s="68">
        <v>30</v>
      </c>
      <c r="AM40" s="68">
        <v>0</v>
      </c>
    </row>
    <row r="41" spans="1:39" x14ac:dyDescent="0.2">
      <c r="A41" s="57" t="s">
        <v>2082</v>
      </c>
      <c r="B41" s="47">
        <v>46173</v>
      </c>
      <c r="C41" s="48"/>
      <c r="D41" s="48" t="s">
        <v>1248</v>
      </c>
      <c r="E41" s="49" t="s">
        <v>112</v>
      </c>
      <c r="F41" s="49" t="s">
        <v>113</v>
      </c>
      <c r="G41" s="47" t="e">
        <v>#N/A</v>
      </c>
      <c r="H41" s="47" t="s">
        <v>22</v>
      </c>
      <c r="I41" s="40" t="s">
        <v>110</v>
      </c>
      <c r="J41" s="40" t="s">
        <v>1659</v>
      </c>
      <c r="K41" s="40" t="s">
        <v>111</v>
      </c>
      <c r="L41" s="40" t="s">
        <v>32</v>
      </c>
      <c r="M41" s="11"/>
      <c r="N41" s="11"/>
      <c r="O41" s="50">
        <v>9.9</v>
      </c>
      <c r="R41" s="9">
        <f>IFERROR(VLOOKUP(E41,Sheet6!$A$2:$B$500,2,FALSE),0)</f>
        <v>0</v>
      </c>
      <c r="S41" s="41">
        <f>IFERROR(VLOOKUP(E41,Sheet6!$C$2:$D$35017,2,FALSE),0)</f>
        <v>0</v>
      </c>
      <c r="U41" s="9">
        <f>IFERROR(VLOOKUP(E41,Sheet2!$AA$1:$AB$975,2,FALSE),0)</f>
        <v>0</v>
      </c>
      <c r="V41" s="41">
        <f>IFERROR(VLOOKUP(E41,Sheet2!$AC$1:$AD$975,2,FALSE),0)</f>
        <v>0</v>
      </c>
      <c r="W41" s="42">
        <f>IFERROR(VLOOKUP(E41,Sheet2!$AE$1:$AF$975,2,FALSE),0)</f>
        <v>0</v>
      </c>
      <c r="X41" s="43">
        <f>IFERROR(VLOOKUP(E41,Sheet2!$AG$1:$AH$975,2,FALSE),0)</f>
        <v>0</v>
      </c>
      <c r="Z41" s="60">
        <f>IFERROR(VLOOKUP(F41,Sheet2!$AA$1:$AB$975,2,FALSE),0)</f>
        <v>5</v>
      </c>
      <c r="AA41" s="64">
        <f>IFERROR(VLOOKUP(F41,Sheet2!$AC$1:$AD$975,2,FALSE),0)</f>
        <v>109.95</v>
      </c>
      <c r="AB41" s="65">
        <f>IFERROR(VLOOKUP(F41,Sheet2!$AE$2:$AF$6539,2,FALSE),0)</f>
        <v>106</v>
      </c>
      <c r="AC41" s="43">
        <f>IFERROR(VLOOKUP(F41,Sheet2!$AG$2:$AH$6539,2,FALSE),0)</f>
        <v>0.19889999999999999</v>
      </c>
      <c r="AE41" s="112">
        <v>0</v>
      </c>
      <c r="AF41" s="9">
        <v>0</v>
      </c>
      <c r="AG41" s="9">
        <v>2</v>
      </c>
      <c r="AH41" s="9">
        <v>0</v>
      </c>
      <c r="AI41" s="9">
        <v>2</v>
      </c>
      <c r="AJ41" s="9">
        <f t="shared" si="2"/>
        <v>2</v>
      </c>
      <c r="AK41" s="45">
        <f t="shared" si="3"/>
        <v>19.8</v>
      </c>
      <c r="AL41" s="68">
        <v>0</v>
      </c>
      <c r="AM41" s="68">
        <v>270</v>
      </c>
    </row>
    <row r="42" spans="1:39" x14ac:dyDescent="0.2">
      <c r="A42" s="57" t="s">
        <v>2082</v>
      </c>
      <c r="B42" s="47">
        <v>46173</v>
      </c>
      <c r="C42" s="48"/>
      <c r="D42" s="48" t="s">
        <v>1249</v>
      </c>
      <c r="E42" s="49" t="s">
        <v>114</v>
      </c>
      <c r="F42" s="49" t="s">
        <v>115</v>
      </c>
      <c r="G42" s="47" t="e">
        <v>#N/A</v>
      </c>
      <c r="H42" s="47" t="s">
        <v>22</v>
      </c>
      <c r="I42" s="40" t="s">
        <v>110</v>
      </c>
      <c r="J42" s="40" t="s">
        <v>1659</v>
      </c>
      <c r="K42" s="40" t="s">
        <v>111</v>
      </c>
      <c r="L42" s="40" t="s">
        <v>35</v>
      </c>
      <c r="M42" s="11"/>
      <c r="N42" s="11"/>
      <c r="O42" s="50">
        <v>9.9</v>
      </c>
      <c r="R42" s="9">
        <f>IFERROR(VLOOKUP(E42,Sheet6!$A$2:$B$500,2,FALSE),0)</f>
        <v>1</v>
      </c>
      <c r="S42" s="41">
        <f>IFERROR(VLOOKUP(E42,Sheet6!$C$2:$D$35017,2,FALSE),0)</f>
        <v>22</v>
      </c>
      <c r="U42" s="9">
        <f>IFERROR(VLOOKUP(E42,Sheet2!$AA$1:$AB$975,2,FALSE),0)</f>
        <v>4</v>
      </c>
      <c r="V42" s="41">
        <f>IFERROR(VLOOKUP(E42,Sheet2!$AC$1:$AD$975,2,FALSE),0)</f>
        <v>87.96</v>
      </c>
      <c r="W42" s="42">
        <f>IFERROR(VLOOKUP(E42,Sheet2!$AE$1:$AF$975,2,FALSE),0)</f>
        <v>191</v>
      </c>
      <c r="X42" s="43">
        <f>IFERROR(VLOOKUP(E42,Sheet2!$AG$1:$AH$975,2,FALSE),0)</f>
        <v>0.32219999999999999</v>
      </c>
      <c r="Z42" s="60">
        <f>IFERROR(VLOOKUP(F42,Sheet2!$AA$1:$AB$975,2,FALSE),0)</f>
        <v>2</v>
      </c>
      <c r="AA42" s="64">
        <f>IFERROR(VLOOKUP(F42,Sheet2!$AC$1:$AD$975,2,FALSE),0)</f>
        <v>43.98</v>
      </c>
      <c r="AB42" s="65">
        <f>IFERROR(VLOOKUP(F42,Sheet2!$AE$2:$AF$6539,2,FALSE),0)</f>
        <v>191</v>
      </c>
      <c r="AC42" s="43">
        <f>IFERROR(VLOOKUP(F42,Sheet2!$AG$2:$AH$6539,2,FALSE),0)</f>
        <v>0.32219999999999999</v>
      </c>
      <c r="AE42" s="112">
        <v>58</v>
      </c>
      <c r="AF42" s="9">
        <v>0</v>
      </c>
      <c r="AG42" s="9">
        <v>6</v>
      </c>
      <c r="AH42" s="9">
        <v>0</v>
      </c>
      <c r="AI42" s="9">
        <v>6</v>
      </c>
      <c r="AJ42" s="9">
        <f t="shared" si="2"/>
        <v>64</v>
      </c>
      <c r="AK42" s="45">
        <f t="shared" si="3"/>
        <v>633.6</v>
      </c>
      <c r="AL42" s="68">
        <v>54</v>
      </c>
      <c r="AM42" s="68">
        <v>0</v>
      </c>
    </row>
    <row r="43" spans="1:39" x14ac:dyDescent="0.2">
      <c r="A43" s="57" t="s">
        <v>2082</v>
      </c>
      <c r="B43" s="47">
        <v>46173</v>
      </c>
      <c r="C43" s="109"/>
      <c r="D43" s="52" t="s">
        <v>1251</v>
      </c>
      <c r="E43" s="49" t="s">
        <v>1012</v>
      </c>
      <c r="F43" s="49" t="s">
        <v>1072</v>
      </c>
      <c r="G43" s="47" t="e">
        <v>#N/A</v>
      </c>
      <c r="H43" s="47" t="s">
        <v>22</v>
      </c>
      <c r="I43" s="9" t="s">
        <v>1090</v>
      </c>
      <c r="J43" s="40" t="s">
        <v>1729</v>
      </c>
      <c r="K43" s="9" t="s">
        <v>41</v>
      </c>
      <c r="L43" s="9" t="s">
        <v>32</v>
      </c>
      <c r="M43" s="11"/>
      <c r="N43" s="11"/>
      <c r="O43" s="50">
        <v>8.64</v>
      </c>
      <c r="R43" s="9">
        <f>IFERROR(VLOOKUP(E43,Sheet6!$A$2:$B$500,2,FALSE),0)</f>
        <v>0</v>
      </c>
      <c r="S43" s="41">
        <f>IFERROR(VLOOKUP(E43,Sheet6!$C$2:$D$35017,2,FALSE),0)</f>
        <v>0</v>
      </c>
      <c r="U43" s="9">
        <f>IFERROR(VLOOKUP(E43,Sheet2!$AA$1:$AB$975,2,FALSE),0)</f>
        <v>0</v>
      </c>
      <c r="V43" s="41">
        <f>IFERROR(VLOOKUP(E43,Sheet2!$AC$1:$AD$975,2,FALSE),0)</f>
        <v>0</v>
      </c>
      <c r="W43" s="42">
        <f>IFERROR(VLOOKUP(E43,Sheet2!$AE$1:$AF$975,2,FALSE),0)</f>
        <v>0</v>
      </c>
      <c r="X43" s="43">
        <f>IFERROR(VLOOKUP(E43,Sheet2!$AG$1:$AH$975,2,FALSE),0)</f>
        <v>0</v>
      </c>
      <c r="Z43" s="60">
        <f>IFERROR(VLOOKUP(F43,Sheet2!$AA$1:$AB$975,2,FALSE),0)</f>
        <v>5</v>
      </c>
      <c r="AA43" s="64">
        <f>IFERROR(VLOOKUP(F43,Sheet2!$AC$1:$AD$975,2,FALSE),0)</f>
        <v>100</v>
      </c>
      <c r="AB43" s="65">
        <f>IFERROR(VLOOKUP(F43,Sheet2!$AE$2:$AF$6539,2,FALSE),0)</f>
        <v>24</v>
      </c>
      <c r="AC43" s="43">
        <f>IFERROR(VLOOKUP(F43,Sheet2!$AG$2:$AH$6539,2,FALSE),0)</f>
        <v>1</v>
      </c>
      <c r="AE43" s="112">
        <v>15</v>
      </c>
      <c r="AF43" s="9">
        <v>6</v>
      </c>
      <c r="AG43" s="9">
        <v>0</v>
      </c>
      <c r="AH43" s="9">
        <v>0</v>
      </c>
      <c r="AI43" s="9">
        <v>6</v>
      </c>
      <c r="AJ43" s="9">
        <f t="shared" si="2"/>
        <v>21</v>
      </c>
      <c r="AK43" s="45">
        <f t="shared" si="3"/>
        <v>181.44</v>
      </c>
      <c r="AL43" s="68">
        <v>6</v>
      </c>
      <c r="AM43" s="68">
        <v>12</v>
      </c>
    </row>
    <row r="44" spans="1:39" x14ac:dyDescent="0.2">
      <c r="A44" s="57" t="s">
        <v>2082</v>
      </c>
      <c r="B44" s="47">
        <v>46173</v>
      </c>
      <c r="C44" s="110"/>
      <c r="D44" s="52" t="s">
        <v>1252</v>
      </c>
      <c r="E44" s="49" t="s">
        <v>1010</v>
      </c>
      <c r="F44" s="49" t="s">
        <v>1070</v>
      </c>
      <c r="G44" s="47" t="e">
        <v>#N/A</v>
      </c>
      <c r="H44" s="47" t="s">
        <v>22</v>
      </c>
      <c r="I44" s="9" t="s">
        <v>1090</v>
      </c>
      <c r="J44" s="40" t="s">
        <v>1729</v>
      </c>
      <c r="K44" s="9" t="s">
        <v>24</v>
      </c>
      <c r="L44" s="9" t="s">
        <v>29</v>
      </c>
      <c r="M44" s="11"/>
      <c r="N44" s="11"/>
      <c r="O44" s="50">
        <v>8.64</v>
      </c>
      <c r="R44" s="9">
        <f>IFERROR(VLOOKUP(E44,Sheet6!$A$2:$B$500,2,FALSE),0)</f>
        <v>0</v>
      </c>
      <c r="S44" s="41">
        <f>IFERROR(VLOOKUP(E44,Sheet6!$C$2:$D$35017,2,FALSE),0)</f>
        <v>0</v>
      </c>
      <c r="U44" s="9">
        <f>IFERROR(VLOOKUP(E44,Sheet2!$AA$1:$AB$975,2,FALSE),0)</f>
        <v>0</v>
      </c>
      <c r="V44" s="41">
        <f>IFERROR(VLOOKUP(E44,Sheet2!$AC$1:$AD$975,2,FALSE),0)</f>
        <v>0</v>
      </c>
      <c r="W44" s="42">
        <f>IFERROR(VLOOKUP(E44,Sheet2!$AE$1:$AF$975,2,FALSE),0)</f>
        <v>0</v>
      </c>
      <c r="X44" s="43">
        <f>IFERROR(VLOOKUP(E44,Sheet2!$AG$1:$AH$975,2,FALSE),0)</f>
        <v>0</v>
      </c>
      <c r="Z44" s="60">
        <f>IFERROR(VLOOKUP(F44,Sheet2!$AA$1:$AB$975,2,FALSE),0)</f>
        <v>0</v>
      </c>
      <c r="AA44" s="64">
        <f>IFERROR(VLOOKUP(F44,Sheet2!$AC$1:$AD$975,2,FALSE),0)</f>
        <v>0</v>
      </c>
      <c r="AB44" s="65">
        <f>IFERROR(VLOOKUP(F44,Sheet2!$AE$2:$AF$6539,2,FALSE),0)</f>
        <v>0</v>
      </c>
      <c r="AC44" s="43">
        <f>IFERROR(VLOOKUP(F44,Sheet2!$AG$2:$AH$6539,2,FALSE),0)</f>
        <v>0</v>
      </c>
      <c r="AE44" s="112">
        <v>0</v>
      </c>
      <c r="AF44" s="9">
        <v>0</v>
      </c>
      <c r="AG44" s="9">
        <v>0</v>
      </c>
      <c r="AH44" s="9">
        <v>0</v>
      </c>
      <c r="AI44" s="9">
        <v>0</v>
      </c>
      <c r="AJ44" s="9">
        <f t="shared" si="2"/>
        <v>0</v>
      </c>
      <c r="AK44" s="45">
        <f t="shared" si="3"/>
        <v>0</v>
      </c>
      <c r="AL44" s="68">
        <v>0</v>
      </c>
      <c r="AM44" s="68">
        <v>0</v>
      </c>
    </row>
    <row r="45" spans="1:39" x14ac:dyDescent="0.2">
      <c r="A45" s="57" t="s">
        <v>2082</v>
      </c>
      <c r="B45" s="47">
        <v>46173</v>
      </c>
      <c r="C45" s="109"/>
      <c r="D45" s="52" t="s">
        <v>1250</v>
      </c>
      <c r="E45" s="49" t="s">
        <v>1011</v>
      </c>
      <c r="F45" s="49" t="s">
        <v>1071</v>
      </c>
      <c r="G45" s="47" t="e">
        <v>#N/A</v>
      </c>
      <c r="H45" s="47" t="s">
        <v>22</v>
      </c>
      <c r="I45" s="9" t="s">
        <v>1090</v>
      </c>
      <c r="J45" s="40" t="s">
        <v>1729</v>
      </c>
      <c r="K45" s="9" t="s">
        <v>24</v>
      </c>
      <c r="L45" s="9" t="s">
        <v>32</v>
      </c>
      <c r="M45" s="11"/>
      <c r="N45" s="11"/>
      <c r="O45" s="50">
        <v>8.64</v>
      </c>
      <c r="R45" s="9">
        <f>IFERROR(VLOOKUP(E45,Sheet6!$A$2:$B$500,2,FALSE),0)</f>
        <v>0</v>
      </c>
      <c r="S45" s="41">
        <f>IFERROR(VLOOKUP(E45,Sheet6!$C$2:$D$35017,2,FALSE),0)</f>
        <v>0</v>
      </c>
      <c r="U45" s="9">
        <f>IFERROR(VLOOKUP(E45,Sheet2!$AA$1:$AB$975,2,FALSE),0)</f>
        <v>0</v>
      </c>
      <c r="V45" s="41">
        <f>IFERROR(VLOOKUP(E45,Sheet2!$AC$1:$AD$975,2,FALSE),0)</f>
        <v>0</v>
      </c>
      <c r="W45" s="42">
        <f>IFERROR(VLOOKUP(E45,Sheet2!$AE$1:$AF$975,2,FALSE),0)</f>
        <v>0</v>
      </c>
      <c r="X45" s="43">
        <f>IFERROR(VLOOKUP(E45,Sheet2!$AG$1:$AH$975,2,FALSE),0)</f>
        <v>0</v>
      </c>
      <c r="Z45" s="60">
        <f>IFERROR(VLOOKUP(F45,Sheet2!$AA$1:$AB$975,2,FALSE),0)</f>
        <v>0</v>
      </c>
      <c r="AA45" s="64">
        <f>IFERROR(VLOOKUP(F45,Sheet2!$AC$1:$AD$975,2,FALSE),0)</f>
        <v>0</v>
      </c>
      <c r="AB45" s="65">
        <f>IFERROR(VLOOKUP(F45,Sheet2!$AE$2:$AF$6539,2,FALSE),0)</f>
        <v>0</v>
      </c>
      <c r="AC45" s="43">
        <f>IFERROR(VLOOKUP(F45,Sheet2!$AG$2:$AH$6539,2,FALSE),0)</f>
        <v>0</v>
      </c>
      <c r="AE45" s="112">
        <v>6</v>
      </c>
      <c r="AF45" s="9">
        <v>9</v>
      </c>
      <c r="AG45" s="9">
        <v>0</v>
      </c>
      <c r="AH45" s="9">
        <v>0</v>
      </c>
      <c r="AI45" s="9">
        <v>9</v>
      </c>
      <c r="AJ45" s="9">
        <f t="shared" si="2"/>
        <v>15</v>
      </c>
      <c r="AK45" s="45">
        <f t="shared" si="3"/>
        <v>129.60000000000002</v>
      </c>
      <c r="AL45" s="68">
        <v>0</v>
      </c>
      <c r="AM45" s="68">
        <v>0</v>
      </c>
    </row>
    <row r="46" spans="1:39" x14ac:dyDescent="0.2">
      <c r="A46" s="57" t="s">
        <v>2082</v>
      </c>
      <c r="B46" s="47">
        <v>46173</v>
      </c>
      <c r="C46" s="48"/>
      <c r="D46" s="48" t="s">
        <v>1253</v>
      </c>
      <c r="E46" s="49" t="s">
        <v>116</v>
      </c>
      <c r="F46" s="49" t="s">
        <v>117</v>
      </c>
      <c r="G46" s="47" t="e">
        <v>#N/A</v>
      </c>
      <c r="H46" s="47" t="s">
        <v>22</v>
      </c>
      <c r="I46" s="9" t="s">
        <v>118</v>
      </c>
      <c r="J46" s="40" t="s">
        <v>1667</v>
      </c>
      <c r="K46" s="9" t="s">
        <v>41</v>
      </c>
      <c r="L46" s="9" t="s">
        <v>29</v>
      </c>
      <c r="M46" s="11"/>
      <c r="N46" s="11"/>
      <c r="O46" s="50">
        <v>6.9119999999999999</v>
      </c>
      <c r="R46" s="9">
        <f>IFERROR(VLOOKUP(E46,Sheet6!$A$2:$B$500,2,FALSE),0)</f>
        <v>0</v>
      </c>
      <c r="S46" s="41">
        <f>IFERROR(VLOOKUP(E46,Sheet6!$C$2:$D$35017,2,FALSE),0)</f>
        <v>0</v>
      </c>
      <c r="U46" s="9">
        <f>IFERROR(VLOOKUP(E46,Sheet2!$AA$1:$AB$975,2,FALSE),0)</f>
        <v>0</v>
      </c>
      <c r="V46" s="41">
        <f>IFERROR(VLOOKUP(E46,Sheet2!$AC$1:$AD$975,2,FALSE),0)</f>
        <v>0</v>
      </c>
      <c r="W46" s="42">
        <f>IFERROR(VLOOKUP(E46,Sheet2!$AE$1:$AF$975,2,FALSE),0)</f>
        <v>0</v>
      </c>
      <c r="X46" s="43">
        <f>IFERROR(VLOOKUP(E46,Sheet2!$AG$1:$AH$975,2,FALSE),0)</f>
        <v>0</v>
      </c>
      <c r="Z46" s="60">
        <f>IFERROR(VLOOKUP(F46,Sheet2!$AA$1:$AB$975,2,FALSE),0)</f>
        <v>0</v>
      </c>
      <c r="AA46" s="64">
        <f>IFERROR(VLOOKUP(F46,Sheet2!$AC$1:$AD$975,2,FALSE),0)</f>
        <v>0</v>
      </c>
      <c r="AB46" s="65">
        <f>IFERROR(VLOOKUP(F46,Sheet2!$AE$2:$AF$6539,2,FALSE),0)</f>
        <v>0</v>
      </c>
      <c r="AC46" s="43">
        <f>IFERROR(VLOOKUP(F46,Sheet2!$AG$2:$AH$6539,2,FALSE),0)</f>
        <v>0</v>
      </c>
      <c r="AE46" s="112">
        <v>0</v>
      </c>
      <c r="AF46" s="9">
        <v>0</v>
      </c>
      <c r="AG46" s="9">
        <v>0</v>
      </c>
      <c r="AH46" s="9">
        <v>0</v>
      </c>
      <c r="AI46" s="9">
        <v>0</v>
      </c>
      <c r="AJ46" s="9">
        <f t="shared" si="2"/>
        <v>0</v>
      </c>
      <c r="AK46" s="45">
        <f t="shared" si="3"/>
        <v>0</v>
      </c>
      <c r="AL46" s="68">
        <v>0</v>
      </c>
      <c r="AM46" s="68">
        <v>0</v>
      </c>
    </row>
    <row r="47" spans="1:39" x14ac:dyDescent="0.2">
      <c r="A47" s="57" t="s">
        <v>2082</v>
      </c>
      <c r="B47" s="47">
        <v>46173</v>
      </c>
      <c r="C47" s="48"/>
      <c r="D47" s="48" t="s">
        <v>1254</v>
      </c>
      <c r="E47" s="49" t="s">
        <v>119</v>
      </c>
      <c r="F47" s="49" t="s">
        <v>120</v>
      </c>
      <c r="G47" s="47" t="e">
        <v>#N/A</v>
      </c>
      <c r="H47" s="47" t="s">
        <v>22</v>
      </c>
      <c r="I47" s="9" t="s">
        <v>118</v>
      </c>
      <c r="J47" s="40" t="s">
        <v>1667</v>
      </c>
      <c r="K47" s="9" t="s">
        <v>41</v>
      </c>
      <c r="L47" s="9" t="s">
        <v>32</v>
      </c>
      <c r="M47" s="11"/>
      <c r="N47" s="11"/>
      <c r="O47" s="50">
        <v>6.9119999999999999</v>
      </c>
      <c r="R47" s="9">
        <f>IFERROR(VLOOKUP(E47,Sheet6!$A$2:$B$500,2,FALSE),0)</f>
        <v>0</v>
      </c>
      <c r="S47" s="41">
        <f>IFERROR(VLOOKUP(E47,Sheet6!$C$2:$D$35017,2,FALSE),0)</f>
        <v>0</v>
      </c>
      <c r="U47" s="9">
        <f>IFERROR(VLOOKUP(E47,Sheet2!$AA$1:$AB$975,2,FALSE),0)</f>
        <v>0</v>
      </c>
      <c r="V47" s="41">
        <f>IFERROR(VLOOKUP(E47,Sheet2!$AC$1:$AD$975,2,FALSE),0)</f>
        <v>0</v>
      </c>
      <c r="W47" s="42">
        <f>IFERROR(VLOOKUP(E47,Sheet2!$AE$1:$AF$975,2,FALSE),0)</f>
        <v>0</v>
      </c>
      <c r="X47" s="43">
        <f>IFERROR(VLOOKUP(E47,Sheet2!$AG$1:$AH$975,2,FALSE),0)</f>
        <v>0</v>
      </c>
      <c r="Z47" s="60">
        <f>IFERROR(VLOOKUP(F47,Sheet2!$AA$1:$AB$975,2,FALSE),0)</f>
        <v>0</v>
      </c>
      <c r="AA47" s="64">
        <f>IFERROR(VLOOKUP(F47,Sheet2!$AC$1:$AD$975,2,FALSE),0)</f>
        <v>0</v>
      </c>
      <c r="AB47" s="65">
        <f>IFERROR(VLOOKUP(F47,Sheet2!$AE$2:$AF$6539,2,FALSE),0)</f>
        <v>0</v>
      </c>
      <c r="AC47" s="43">
        <f>IFERROR(VLOOKUP(F47,Sheet2!$AG$2:$AH$6539,2,FALSE),0)</f>
        <v>0</v>
      </c>
      <c r="AE47" s="112">
        <v>25</v>
      </c>
      <c r="AF47" s="9">
        <v>0</v>
      </c>
      <c r="AG47" s="9">
        <v>0</v>
      </c>
      <c r="AH47" s="9">
        <v>0</v>
      </c>
      <c r="AI47" s="9">
        <v>0</v>
      </c>
      <c r="AJ47" s="9">
        <f t="shared" si="2"/>
        <v>25</v>
      </c>
      <c r="AK47" s="45">
        <f t="shared" si="3"/>
        <v>172.8</v>
      </c>
      <c r="AL47" s="68">
        <v>0</v>
      </c>
      <c r="AM47" s="68">
        <v>0</v>
      </c>
    </row>
    <row r="48" spans="1:39" x14ac:dyDescent="0.2">
      <c r="A48" s="57" t="s">
        <v>2082</v>
      </c>
      <c r="B48" s="47">
        <v>46173</v>
      </c>
      <c r="C48" s="48"/>
      <c r="D48" s="48" t="s">
        <v>1255</v>
      </c>
      <c r="E48" s="49" t="s">
        <v>121</v>
      </c>
      <c r="F48" s="49" t="s">
        <v>122</v>
      </c>
      <c r="G48" s="47" t="e">
        <v>#N/A</v>
      </c>
      <c r="H48" s="47" t="s">
        <v>22</v>
      </c>
      <c r="I48" s="9" t="s">
        <v>118</v>
      </c>
      <c r="J48" s="40" t="s">
        <v>1667</v>
      </c>
      <c r="K48" s="9" t="s">
        <v>41</v>
      </c>
      <c r="L48" s="9" t="s">
        <v>35</v>
      </c>
      <c r="M48" s="11"/>
      <c r="N48" s="11"/>
      <c r="O48" s="50">
        <v>6.9119999999999999</v>
      </c>
      <c r="R48" s="9">
        <f>IFERROR(VLOOKUP(E48,Sheet6!$A$2:$B$500,2,FALSE),0)</f>
        <v>0</v>
      </c>
      <c r="S48" s="41">
        <f>IFERROR(VLOOKUP(E48,Sheet6!$C$2:$D$35017,2,FALSE),0)</f>
        <v>0</v>
      </c>
      <c r="U48" s="9">
        <f>IFERROR(VLOOKUP(E48,Sheet2!$AA$1:$AB$975,2,FALSE),0)</f>
        <v>0</v>
      </c>
      <c r="V48" s="41">
        <f>IFERROR(VLOOKUP(E48,Sheet2!$AC$1:$AD$975,2,FALSE),0)</f>
        <v>0</v>
      </c>
      <c r="W48" s="42">
        <f>IFERROR(VLOOKUP(E48,Sheet2!$AE$1:$AF$975,2,FALSE),0)</f>
        <v>0</v>
      </c>
      <c r="X48" s="43">
        <f>IFERROR(VLOOKUP(E48,Sheet2!$AG$1:$AH$975,2,FALSE),0)</f>
        <v>0</v>
      </c>
      <c r="Z48" s="60">
        <f>IFERROR(VLOOKUP(F48,Sheet2!$AA$1:$AB$975,2,FALSE),0)</f>
        <v>0</v>
      </c>
      <c r="AA48" s="64">
        <f>IFERROR(VLOOKUP(F48,Sheet2!$AC$1:$AD$975,2,FALSE),0)</f>
        <v>0</v>
      </c>
      <c r="AB48" s="65">
        <f>IFERROR(VLOOKUP(F48,Sheet2!$AE$2:$AF$6539,2,FALSE),0)</f>
        <v>0</v>
      </c>
      <c r="AC48" s="43">
        <f>IFERROR(VLOOKUP(F48,Sheet2!$AG$2:$AH$6539,2,FALSE),0)</f>
        <v>0</v>
      </c>
      <c r="AE48" s="112">
        <v>0</v>
      </c>
      <c r="AF48" s="9">
        <v>0</v>
      </c>
      <c r="AG48" s="9">
        <v>0</v>
      </c>
      <c r="AH48" s="9">
        <v>0</v>
      </c>
      <c r="AI48" s="9">
        <v>0</v>
      </c>
      <c r="AJ48" s="9">
        <f t="shared" si="2"/>
        <v>0</v>
      </c>
      <c r="AK48" s="45">
        <f t="shared" si="3"/>
        <v>0</v>
      </c>
      <c r="AL48" s="68">
        <v>0</v>
      </c>
      <c r="AM48" s="68">
        <v>0</v>
      </c>
    </row>
    <row r="49" spans="1:39" x14ac:dyDescent="0.2">
      <c r="A49" s="57" t="s">
        <v>2082</v>
      </c>
      <c r="B49" s="47">
        <v>46173</v>
      </c>
      <c r="C49" s="48"/>
      <c r="D49" s="48" t="s">
        <v>1256</v>
      </c>
      <c r="E49" s="49" t="s">
        <v>123</v>
      </c>
      <c r="F49" s="49" t="s">
        <v>124</v>
      </c>
      <c r="G49" s="47" t="e">
        <v>#N/A</v>
      </c>
      <c r="H49" s="47" t="s">
        <v>22</v>
      </c>
      <c r="I49" s="9" t="s">
        <v>118</v>
      </c>
      <c r="J49" s="40" t="s">
        <v>1667</v>
      </c>
      <c r="K49" s="9" t="s">
        <v>125</v>
      </c>
      <c r="L49" s="9" t="s">
        <v>29</v>
      </c>
      <c r="M49" s="11"/>
      <c r="N49" s="11"/>
      <c r="O49" s="50">
        <v>6.9119999999999999</v>
      </c>
      <c r="R49" s="9">
        <f>IFERROR(VLOOKUP(E49,Sheet6!$A$2:$B$500,2,FALSE),0)</f>
        <v>0</v>
      </c>
      <c r="S49" s="41">
        <f>IFERROR(VLOOKUP(E49,Sheet6!$C$2:$D$35017,2,FALSE),0)</f>
        <v>0</v>
      </c>
      <c r="U49" s="9">
        <f>IFERROR(VLOOKUP(E49,Sheet2!$AA$1:$AB$975,2,FALSE),0)</f>
        <v>8</v>
      </c>
      <c r="V49" s="41">
        <f>IFERROR(VLOOKUP(E49,Sheet2!$AC$1:$AD$975,2,FALSE),0)</f>
        <v>128</v>
      </c>
      <c r="W49" s="42">
        <f>IFERROR(VLOOKUP(E49,Sheet2!$AE$1:$AF$975,2,FALSE),0)</f>
        <v>16</v>
      </c>
      <c r="X49" s="43">
        <f>IFERROR(VLOOKUP(E49,Sheet2!$AG$1:$AH$975,2,FALSE),0)</f>
        <v>1</v>
      </c>
      <c r="Z49" s="60">
        <f>IFERROR(VLOOKUP(F49,Sheet2!$AA$1:$AB$975,2,FALSE),0)</f>
        <v>0</v>
      </c>
      <c r="AA49" s="64">
        <f>IFERROR(VLOOKUP(F49,Sheet2!$AC$1:$AD$975,2,FALSE),0)</f>
        <v>0</v>
      </c>
      <c r="AB49" s="65">
        <f>IFERROR(VLOOKUP(F49,Sheet2!$AE$2:$AF$6539,2,FALSE),0)</f>
        <v>0</v>
      </c>
      <c r="AC49" s="43">
        <f>IFERROR(VLOOKUP(F49,Sheet2!$AG$2:$AH$6539,2,FALSE),0)</f>
        <v>0</v>
      </c>
      <c r="AE49" s="112">
        <v>19</v>
      </c>
      <c r="AF49" s="9">
        <v>0</v>
      </c>
      <c r="AG49" s="9">
        <v>0</v>
      </c>
      <c r="AH49" s="9">
        <v>0</v>
      </c>
      <c r="AI49" s="9">
        <v>0</v>
      </c>
      <c r="AJ49" s="9">
        <f t="shared" si="2"/>
        <v>19</v>
      </c>
      <c r="AK49" s="45">
        <f t="shared" si="3"/>
        <v>131.328</v>
      </c>
      <c r="AL49" s="68">
        <v>0</v>
      </c>
      <c r="AM49" s="68">
        <v>30</v>
      </c>
    </row>
    <row r="50" spans="1:39" x14ac:dyDescent="0.2">
      <c r="A50" s="57" t="s">
        <v>2082</v>
      </c>
      <c r="B50" s="47">
        <v>46173</v>
      </c>
      <c r="C50" s="48"/>
      <c r="D50" s="48" t="s">
        <v>1257</v>
      </c>
      <c r="E50" s="49" t="s">
        <v>126</v>
      </c>
      <c r="F50" s="49" t="s">
        <v>127</v>
      </c>
      <c r="G50" s="47" t="e">
        <v>#N/A</v>
      </c>
      <c r="H50" s="47" t="s">
        <v>22</v>
      </c>
      <c r="I50" s="9" t="s">
        <v>118</v>
      </c>
      <c r="J50" s="40" t="s">
        <v>1667</v>
      </c>
      <c r="K50" s="9" t="s">
        <v>125</v>
      </c>
      <c r="L50" s="9" t="s">
        <v>32</v>
      </c>
      <c r="M50" s="11"/>
      <c r="N50" s="11"/>
      <c r="O50" s="50">
        <v>6.9119999999999999</v>
      </c>
      <c r="R50" s="9">
        <f>IFERROR(VLOOKUP(E50,Sheet6!$A$2:$B$500,2,FALSE),0)</f>
        <v>0</v>
      </c>
      <c r="S50" s="41">
        <f>IFERROR(VLOOKUP(E50,Sheet6!$C$2:$D$35017,2,FALSE),0)</f>
        <v>0</v>
      </c>
      <c r="U50" s="9">
        <f>IFERROR(VLOOKUP(E50,Sheet2!$AA$1:$AB$975,2,FALSE),0)</f>
        <v>0</v>
      </c>
      <c r="V50" s="41">
        <f>IFERROR(VLOOKUP(E50,Sheet2!$AC$1:$AD$975,2,FALSE),0)</f>
        <v>0</v>
      </c>
      <c r="W50" s="42">
        <f>IFERROR(VLOOKUP(E50,Sheet2!$AE$1:$AF$975,2,FALSE),0)</f>
        <v>0</v>
      </c>
      <c r="X50" s="43">
        <f>IFERROR(VLOOKUP(E50,Sheet2!$AG$1:$AH$975,2,FALSE),0)</f>
        <v>0</v>
      </c>
      <c r="Z50" s="60">
        <f>IFERROR(VLOOKUP(F50,Sheet2!$AA$1:$AB$975,2,FALSE),0)</f>
        <v>0</v>
      </c>
      <c r="AA50" s="64">
        <f>IFERROR(VLOOKUP(F50,Sheet2!$AC$1:$AD$975,2,FALSE),0)</f>
        <v>0</v>
      </c>
      <c r="AB50" s="65">
        <f>IFERROR(VLOOKUP(F50,Sheet2!$AE$2:$AF$6539,2,FALSE),0)</f>
        <v>0</v>
      </c>
      <c r="AC50" s="43">
        <f>IFERROR(VLOOKUP(F50,Sheet2!$AG$2:$AH$6539,2,FALSE),0)</f>
        <v>0</v>
      </c>
      <c r="AE50" s="112">
        <v>0</v>
      </c>
      <c r="AF50" s="9">
        <v>0</v>
      </c>
      <c r="AG50" s="9">
        <v>0</v>
      </c>
      <c r="AH50" s="9">
        <v>0</v>
      </c>
      <c r="AI50" s="9">
        <v>0</v>
      </c>
      <c r="AJ50" s="9">
        <f t="shared" si="2"/>
        <v>0</v>
      </c>
      <c r="AK50" s="45">
        <f t="shared" si="3"/>
        <v>0</v>
      </c>
      <c r="AL50" s="68">
        <v>0</v>
      </c>
      <c r="AM50" s="68">
        <v>24</v>
      </c>
    </row>
    <row r="51" spans="1:39" x14ac:dyDescent="0.2">
      <c r="A51" s="57" t="s">
        <v>2082</v>
      </c>
      <c r="B51" s="47">
        <v>46173</v>
      </c>
      <c r="C51" s="48"/>
      <c r="D51" s="48" t="s">
        <v>1258</v>
      </c>
      <c r="E51" s="49" t="s">
        <v>128</v>
      </c>
      <c r="F51" s="49" t="s">
        <v>129</v>
      </c>
      <c r="G51" s="47" t="e">
        <v>#N/A</v>
      </c>
      <c r="H51" s="47" t="s">
        <v>22</v>
      </c>
      <c r="I51" s="9" t="s">
        <v>118</v>
      </c>
      <c r="J51" s="40" t="s">
        <v>1667</v>
      </c>
      <c r="K51" s="9" t="s">
        <v>125</v>
      </c>
      <c r="L51" s="9" t="s">
        <v>35</v>
      </c>
      <c r="M51" s="11"/>
      <c r="N51" s="11"/>
      <c r="O51" s="50">
        <v>6.9119999999999999</v>
      </c>
      <c r="R51" s="9">
        <f>IFERROR(VLOOKUP(E51,Sheet6!$A$2:$B$500,2,FALSE),0)</f>
        <v>0</v>
      </c>
      <c r="S51" s="41">
        <f>IFERROR(VLOOKUP(E51,Sheet6!$C$2:$D$35017,2,FALSE),0)</f>
        <v>0</v>
      </c>
      <c r="U51" s="9">
        <f>IFERROR(VLOOKUP(E51,Sheet2!$AA$1:$AB$975,2,FALSE),0)</f>
        <v>0</v>
      </c>
      <c r="V51" s="41">
        <f>IFERROR(VLOOKUP(E51,Sheet2!$AC$1:$AD$975,2,FALSE),0)</f>
        <v>0</v>
      </c>
      <c r="W51" s="42">
        <f>IFERROR(VLOOKUP(E51,Sheet2!$AE$1:$AF$975,2,FALSE),0)</f>
        <v>0</v>
      </c>
      <c r="X51" s="43">
        <f>IFERROR(VLOOKUP(E51,Sheet2!$AG$1:$AH$975,2,FALSE),0)</f>
        <v>0</v>
      </c>
      <c r="Z51" s="60">
        <f>IFERROR(VLOOKUP(F51,Sheet2!$AA$1:$AB$975,2,FALSE),0)</f>
        <v>0</v>
      </c>
      <c r="AA51" s="64">
        <f>IFERROR(VLOOKUP(F51,Sheet2!$AC$1:$AD$975,2,FALSE),0)</f>
        <v>0</v>
      </c>
      <c r="AB51" s="65">
        <f>IFERROR(VLOOKUP(F51,Sheet2!$AE$2:$AF$6539,2,FALSE),0)</f>
        <v>0</v>
      </c>
      <c r="AC51" s="43">
        <f>IFERROR(VLOOKUP(F51,Sheet2!$AG$2:$AH$6539,2,FALSE),0)</f>
        <v>0</v>
      </c>
      <c r="AE51" s="112">
        <v>0</v>
      </c>
      <c r="AF51" s="9">
        <v>0</v>
      </c>
      <c r="AG51" s="9">
        <v>0</v>
      </c>
      <c r="AH51" s="9">
        <v>0</v>
      </c>
      <c r="AI51" s="9">
        <v>0</v>
      </c>
      <c r="AJ51" s="9">
        <f t="shared" si="2"/>
        <v>0</v>
      </c>
      <c r="AK51" s="45">
        <f t="shared" si="3"/>
        <v>0</v>
      </c>
      <c r="AL51" s="68">
        <v>0</v>
      </c>
      <c r="AM51" s="68">
        <v>0</v>
      </c>
    </row>
    <row r="52" spans="1:39" x14ac:dyDescent="0.2">
      <c r="A52" s="57" t="s">
        <v>2082</v>
      </c>
      <c r="B52" s="47">
        <v>46173</v>
      </c>
      <c r="C52" s="48"/>
      <c r="D52" s="48" t="s">
        <v>1259</v>
      </c>
      <c r="E52" s="49" t="s">
        <v>130</v>
      </c>
      <c r="F52" s="49" t="s">
        <v>131</v>
      </c>
      <c r="G52" s="47" t="e">
        <v>#N/A</v>
      </c>
      <c r="H52" s="47" t="s">
        <v>22</v>
      </c>
      <c r="I52" s="9" t="s">
        <v>132</v>
      </c>
      <c r="J52" s="40" t="s">
        <v>1106</v>
      </c>
      <c r="K52" s="9" t="s">
        <v>24</v>
      </c>
      <c r="L52" s="9" t="s">
        <v>29</v>
      </c>
      <c r="M52" s="11"/>
      <c r="N52" s="11"/>
      <c r="O52" s="50">
        <v>6.048</v>
      </c>
      <c r="R52" s="9">
        <f>IFERROR(VLOOKUP(E52,Sheet6!$A$2:$B$500,2,FALSE),0)</f>
        <v>0</v>
      </c>
      <c r="S52" s="41">
        <f>IFERROR(VLOOKUP(E52,Sheet6!$C$2:$D$35017,2,FALSE),0)</f>
        <v>0</v>
      </c>
      <c r="U52" s="9">
        <f>IFERROR(VLOOKUP(E52,Sheet2!$AA$1:$AB$975,2,FALSE),0)</f>
        <v>0</v>
      </c>
      <c r="V52" s="41">
        <f>IFERROR(VLOOKUP(E52,Sheet2!$AC$1:$AD$975,2,FALSE),0)</f>
        <v>0</v>
      </c>
      <c r="W52" s="42">
        <f>IFERROR(VLOOKUP(E52,Sheet2!$AE$1:$AF$975,2,FALSE),0)</f>
        <v>0</v>
      </c>
      <c r="X52" s="43">
        <f>IFERROR(VLOOKUP(E52,Sheet2!$AG$1:$AH$975,2,FALSE),0)</f>
        <v>0</v>
      </c>
      <c r="Z52" s="60">
        <f>IFERROR(VLOOKUP(F52,Sheet2!$AA$1:$AB$975,2,FALSE),0)</f>
        <v>0</v>
      </c>
      <c r="AA52" s="64">
        <f>IFERROR(VLOOKUP(F52,Sheet2!$AC$1:$AD$975,2,FALSE),0)</f>
        <v>0</v>
      </c>
      <c r="AB52" s="65">
        <f>IFERROR(VLOOKUP(F52,Sheet2!$AE$2:$AF$6539,2,FALSE),0)</f>
        <v>0</v>
      </c>
      <c r="AC52" s="43">
        <f>IFERROR(VLOOKUP(F52,Sheet2!$AG$2:$AH$6539,2,FALSE),0)</f>
        <v>0</v>
      </c>
      <c r="AE52" s="112">
        <v>0</v>
      </c>
      <c r="AF52" s="9">
        <v>0</v>
      </c>
      <c r="AG52" s="9">
        <v>0</v>
      </c>
      <c r="AH52" s="9">
        <v>0</v>
      </c>
      <c r="AI52" s="9">
        <v>0</v>
      </c>
      <c r="AJ52" s="9">
        <f t="shared" si="2"/>
        <v>0</v>
      </c>
      <c r="AK52" s="45">
        <f t="shared" si="3"/>
        <v>0</v>
      </c>
      <c r="AL52" s="68">
        <v>0</v>
      </c>
      <c r="AM52" s="68">
        <v>0</v>
      </c>
    </row>
    <row r="53" spans="1:39" x14ac:dyDescent="0.2">
      <c r="A53" s="57" t="s">
        <v>2082</v>
      </c>
      <c r="B53" s="47">
        <v>46173</v>
      </c>
      <c r="C53" s="48"/>
      <c r="D53" s="48" t="s">
        <v>1260</v>
      </c>
      <c r="E53" s="49" t="s">
        <v>133</v>
      </c>
      <c r="F53" s="49" t="s">
        <v>134</v>
      </c>
      <c r="G53" s="47" t="e">
        <v>#N/A</v>
      </c>
      <c r="H53" s="47" t="s">
        <v>22</v>
      </c>
      <c r="I53" s="9" t="s">
        <v>132</v>
      </c>
      <c r="J53" s="40" t="s">
        <v>1106</v>
      </c>
      <c r="K53" s="9" t="s">
        <v>24</v>
      </c>
      <c r="L53" s="9" t="s">
        <v>32</v>
      </c>
      <c r="M53" s="11"/>
      <c r="N53" s="11"/>
      <c r="O53" s="50">
        <v>6.048</v>
      </c>
      <c r="R53" s="9">
        <f>IFERROR(VLOOKUP(E53,Sheet6!$A$2:$B$500,2,FALSE),0)</f>
        <v>18</v>
      </c>
      <c r="S53" s="41">
        <f>IFERROR(VLOOKUP(E53,Sheet6!$C$2:$D$35017,2,FALSE),0)</f>
        <v>240.8</v>
      </c>
      <c r="U53" s="9">
        <f>IFERROR(VLOOKUP(E53,Sheet2!$AA$1:$AB$975,2,FALSE),0)</f>
        <v>0</v>
      </c>
      <c r="V53" s="41">
        <f>IFERROR(VLOOKUP(E53,Sheet2!$AC$1:$AD$975,2,FALSE),0)</f>
        <v>0</v>
      </c>
      <c r="W53" s="42">
        <f>IFERROR(VLOOKUP(E53,Sheet2!$AE$1:$AF$975,2,FALSE),0)</f>
        <v>0</v>
      </c>
      <c r="X53" s="43">
        <f>IFERROR(VLOOKUP(E53,Sheet2!$AG$1:$AH$975,2,FALSE),0)</f>
        <v>0</v>
      </c>
      <c r="Z53" s="60">
        <f>IFERROR(VLOOKUP(F53,Sheet2!$AA$1:$AB$975,2,FALSE),0)</f>
        <v>0</v>
      </c>
      <c r="AA53" s="64">
        <f>IFERROR(VLOOKUP(F53,Sheet2!$AC$1:$AD$975,2,FALSE),0)</f>
        <v>0</v>
      </c>
      <c r="AB53" s="65">
        <f>IFERROR(VLOOKUP(F53,Sheet2!$AE$2:$AF$6539,2,FALSE),0)</f>
        <v>0</v>
      </c>
      <c r="AC53" s="43">
        <f>IFERROR(VLOOKUP(F53,Sheet2!$AG$2:$AH$6539,2,FALSE),0)</f>
        <v>0</v>
      </c>
      <c r="AE53" s="112">
        <v>59</v>
      </c>
      <c r="AF53" s="9">
        <v>0</v>
      </c>
      <c r="AG53" s="9">
        <v>0</v>
      </c>
      <c r="AH53" s="9">
        <v>0</v>
      </c>
      <c r="AI53" s="9">
        <v>0</v>
      </c>
      <c r="AJ53" s="9">
        <f t="shared" si="2"/>
        <v>59</v>
      </c>
      <c r="AK53" s="45">
        <f t="shared" si="3"/>
        <v>356.83199999999999</v>
      </c>
      <c r="AL53" s="68">
        <v>0</v>
      </c>
      <c r="AM53" s="68">
        <v>0</v>
      </c>
    </row>
    <row r="54" spans="1:39" x14ac:dyDescent="0.2">
      <c r="A54" s="57" t="s">
        <v>2082</v>
      </c>
      <c r="B54" s="47">
        <v>46173</v>
      </c>
      <c r="C54" s="48"/>
      <c r="D54" s="48" t="s">
        <v>1261</v>
      </c>
      <c r="E54" s="49" t="s">
        <v>135</v>
      </c>
      <c r="F54" s="49" t="s">
        <v>136</v>
      </c>
      <c r="G54" s="47" t="e">
        <v>#N/A</v>
      </c>
      <c r="H54" s="47" t="s">
        <v>22</v>
      </c>
      <c r="I54" s="9" t="s">
        <v>132</v>
      </c>
      <c r="J54" s="40" t="s">
        <v>1106</v>
      </c>
      <c r="K54" s="9" t="s">
        <v>24</v>
      </c>
      <c r="L54" s="9" t="s">
        <v>35</v>
      </c>
      <c r="M54" s="11"/>
      <c r="N54" s="11"/>
      <c r="O54" s="50">
        <v>6.048</v>
      </c>
      <c r="R54" s="9">
        <f>IFERROR(VLOOKUP(E54,Sheet6!$A$2:$B$500,2,FALSE),0)</f>
        <v>5</v>
      </c>
      <c r="S54" s="41">
        <f>IFERROR(VLOOKUP(E54,Sheet6!$C$2:$D$35017,2,FALSE),0)</f>
        <v>70</v>
      </c>
      <c r="U54" s="9">
        <f>IFERROR(VLOOKUP(E54,Sheet2!$AA$1:$AB$975,2,FALSE),0)</f>
        <v>0</v>
      </c>
      <c r="V54" s="41">
        <f>IFERROR(VLOOKUP(E54,Sheet2!$AC$1:$AD$975,2,FALSE),0)</f>
        <v>0</v>
      </c>
      <c r="W54" s="42">
        <f>IFERROR(VLOOKUP(E54,Sheet2!$AE$1:$AF$975,2,FALSE),0)</f>
        <v>0</v>
      </c>
      <c r="X54" s="43">
        <f>IFERROR(VLOOKUP(E54,Sheet2!$AG$1:$AH$975,2,FALSE),0)</f>
        <v>0</v>
      </c>
      <c r="Z54" s="60">
        <f>IFERROR(VLOOKUP(F54,Sheet2!$AA$1:$AB$975,2,FALSE),0)</f>
        <v>0</v>
      </c>
      <c r="AA54" s="64">
        <f>IFERROR(VLOOKUP(F54,Sheet2!$AC$1:$AD$975,2,FALSE),0)</f>
        <v>0</v>
      </c>
      <c r="AB54" s="65">
        <f>IFERROR(VLOOKUP(F54,Sheet2!$AE$2:$AF$6539,2,FALSE),0)</f>
        <v>0</v>
      </c>
      <c r="AC54" s="43">
        <f>IFERROR(VLOOKUP(F54,Sheet2!$AG$2:$AH$6539,2,FALSE),0)</f>
        <v>0</v>
      </c>
      <c r="AE54" s="112">
        <v>7</v>
      </c>
      <c r="AF54" s="9">
        <v>0</v>
      </c>
      <c r="AG54" s="9">
        <v>0</v>
      </c>
      <c r="AH54" s="9">
        <v>0</v>
      </c>
      <c r="AI54" s="9">
        <v>0</v>
      </c>
      <c r="AJ54" s="9">
        <f t="shared" si="2"/>
        <v>7</v>
      </c>
      <c r="AK54" s="45">
        <f t="shared" si="3"/>
        <v>42.335999999999999</v>
      </c>
      <c r="AL54" s="68">
        <v>0</v>
      </c>
      <c r="AM54" s="68">
        <v>12</v>
      </c>
    </row>
    <row r="55" spans="1:39" x14ac:dyDescent="0.2">
      <c r="A55" s="57" t="s">
        <v>2082</v>
      </c>
      <c r="B55" s="47">
        <v>46173</v>
      </c>
      <c r="C55" s="48"/>
      <c r="D55" s="48" t="s">
        <v>1262</v>
      </c>
      <c r="E55" s="49" t="s">
        <v>137</v>
      </c>
      <c r="F55" s="49" t="s">
        <v>138</v>
      </c>
      <c r="G55" s="47" t="e">
        <v>#N/A</v>
      </c>
      <c r="H55" s="47" t="s">
        <v>22</v>
      </c>
      <c r="I55" s="40" t="s">
        <v>139</v>
      </c>
      <c r="J55" s="40" t="s">
        <v>1672</v>
      </c>
      <c r="K55" s="40" t="s">
        <v>24</v>
      </c>
      <c r="L55" s="40" t="s">
        <v>29</v>
      </c>
      <c r="M55" s="11"/>
      <c r="N55" s="11"/>
      <c r="O55" s="50">
        <v>6.048</v>
      </c>
      <c r="R55" s="9">
        <f>IFERROR(VLOOKUP(E55,Sheet6!$A$2:$B$500,2,FALSE),0)</f>
        <v>0</v>
      </c>
      <c r="S55" s="41">
        <f>IFERROR(VLOOKUP(E55,Sheet6!$C$2:$D$35017,2,FALSE),0)</f>
        <v>0</v>
      </c>
      <c r="U55" s="9">
        <f>IFERROR(VLOOKUP(E55,Sheet2!$AA$1:$AB$975,2,FALSE),0)</f>
        <v>0</v>
      </c>
      <c r="V55" s="41">
        <f>IFERROR(VLOOKUP(E55,Sheet2!$AC$1:$AD$975,2,FALSE),0)</f>
        <v>0</v>
      </c>
      <c r="W55" s="42">
        <f>IFERROR(VLOOKUP(E55,Sheet2!$AE$1:$AF$975,2,FALSE),0)</f>
        <v>0</v>
      </c>
      <c r="X55" s="43">
        <f>IFERROR(VLOOKUP(E55,Sheet2!$AG$1:$AH$975,2,FALSE),0)</f>
        <v>0</v>
      </c>
      <c r="Z55" s="60">
        <f>IFERROR(VLOOKUP(F55,Sheet2!$AA$1:$AB$975,2,FALSE),0)</f>
        <v>0</v>
      </c>
      <c r="AA55" s="64">
        <f>IFERROR(VLOOKUP(F55,Sheet2!$AC$1:$AD$975,2,FALSE),0)</f>
        <v>0</v>
      </c>
      <c r="AB55" s="65">
        <f>IFERROR(VLOOKUP(F55,Sheet2!$AE$2:$AF$6539,2,FALSE),0)</f>
        <v>0</v>
      </c>
      <c r="AC55" s="43">
        <f>IFERROR(VLOOKUP(F55,Sheet2!$AG$2:$AH$6539,2,FALSE),0)</f>
        <v>0</v>
      </c>
      <c r="AE55" s="112">
        <v>0</v>
      </c>
      <c r="AF55" s="9">
        <v>0</v>
      </c>
      <c r="AG55" s="9">
        <v>0</v>
      </c>
      <c r="AH55" s="9">
        <v>0</v>
      </c>
      <c r="AI55" s="9">
        <v>0</v>
      </c>
      <c r="AJ55" s="9">
        <f t="shared" si="2"/>
        <v>0</v>
      </c>
      <c r="AK55" s="45">
        <f t="shared" si="3"/>
        <v>0</v>
      </c>
      <c r="AL55" s="68">
        <v>0</v>
      </c>
      <c r="AM55" s="68">
        <v>0</v>
      </c>
    </row>
    <row r="56" spans="1:39" x14ac:dyDescent="0.2">
      <c r="A56" s="57" t="s">
        <v>2082</v>
      </c>
      <c r="B56" s="47">
        <v>46173</v>
      </c>
      <c r="C56" s="48"/>
      <c r="D56" s="48" t="s">
        <v>1263</v>
      </c>
      <c r="E56" s="49" t="s">
        <v>140</v>
      </c>
      <c r="F56" s="49" t="s">
        <v>141</v>
      </c>
      <c r="G56" s="47" t="e">
        <v>#N/A</v>
      </c>
      <c r="H56" s="47" t="s">
        <v>22</v>
      </c>
      <c r="I56" s="40" t="s">
        <v>139</v>
      </c>
      <c r="J56" s="40" t="s">
        <v>1672</v>
      </c>
      <c r="K56" s="40" t="s">
        <v>24</v>
      </c>
      <c r="L56" s="40" t="s">
        <v>32</v>
      </c>
      <c r="M56" s="11"/>
      <c r="N56" s="11"/>
      <c r="O56" s="50">
        <v>6.048</v>
      </c>
      <c r="R56" s="9">
        <f>IFERROR(VLOOKUP(E56,Sheet6!$A$2:$B$500,2,FALSE),0)</f>
        <v>0</v>
      </c>
      <c r="S56" s="41">
        <f>IFERROR(VLOOKUP(E56,Sheet6!$C$2:$D$35017,2,FALSE),0)</f>
        <v>0</v>
      </c>
      <c r="U56" s="9">
        <f>IFERROR(VLOOKUP(E56,Sheet2!$AA$1:$AB$975,2,FALSE),0)</f>
        <v>0</v>
      </c>
      <c r="V56" s="41">
        <f>IFERROR(VLOOKUP(E56,Sheet2!$AC$1:$AD$975,2,FALSE),0)</f>
        <v>0</v>
      </c>
      <c r="W56" s="42">
        <f>IFERROR(VLOOKUP(E56,Sheet2!$AE$1:$AF$975,2,FALSE),0)</f>
        <v>0</v>
      </c>
      <c r="X56" s="43">
        <f>IFERROR(VLOOKUP(E56,Sheet2!$AG$1:$AH$975,2,FALSE),0)</f>
        <v>0</v>
      </c>
      <c r="Z56" s="60">
        <f>IFERROR(VLOOKUP(F56,Sheet2!$AA$1:$AB$975,2,FALSE),0)</f>
        <v>0</v>
      </c>
      <c r="AA56" s="64">
        <f>IFERROR(VLOOKUP(F56,Sheet2!$AC$1:$AD$975,2,FALSE),0)</f>
        <v>0</v>
      </c>
      <c r="AB56" s="65">
        <f>IFERROR(VLOOKUP(F56,Sheet2!$AE$2:$AF$6539,2,FALSE),0)</f>
        <v>0</v>
      </c>
      <c r="AC56" s="43">
        <f>IFERROR(VLOOKUP(F56,Sheet2!$AG$2:$AH$6539,2,FALSE),0)</f>
        <v>0</v>
      </c>
      <c r="AE56" s="112">
        <v>29</v>
      </c>
      <c r="AF56" s="9">
        <v>0</v>
      </c>
      <c r="AG56" s="9">
        <v>0</v>
      </c>
      <c r="AH56" s="9">
        <v>0</v>
      </c>
      <c r="AI56" s="9">
        <v>0</v>
      </c>
      <c r="AJ56" s="9">
        <f t="shared" si="2"/>
        <v>29</v>
      </c>
      <c r="AK56" s="45">
        <f t="shared" si="3"/>
        <v>175.392</v>
      </c>
      <c r="AL56" s="68">
        <v>0</v>
      </c>
      <c r="AM56" s="68">
        <v>0</v>
      </c>
    </row>
    <row r="57" spans="1:39" x14ac:dyDescent="0.2">
      <c r="A57" s="57" t="s">
        <v>2082</v>
      </c>
      <c r="B57" s="47">
        <v>46173</v>
      </c>
      <c r="C57" s="48"/>
      <c r="D57" s="48" t="s">
        <v>1264</v>
      </c>
      <c r="E57" s="49" t="s">
        <v>142</v>
      </c>
      <c r="F57" s="49" t="s">
        <v>143</v>
      </c>
      <c r="G57" s="47" t="e">
        <v>#N/A</v>
      </c>
      <c r="H57" s="47" t="s">
        <v>22</v>
      </c>
      <c r="I57" s="40" t="s">
        <v>139</v>
      </c>
      <c r="J57" s="40" t="s">
        <v>1672</v>
      </c>
      <c r="K57" s="40" t="s">
        <v>24</v>
      </c>
      <c r="L57" s="40" t="s">
        <v>35</v>
      </c>
      <c r="M57" s="11"/>
      <c r="N57" s="11"/>
      <c r="O57" s="50">
        <v>6.048</v>
      </c>
      <c r="R57" s="9">
        <f>IFERROR(VLOOKUP(E57,Sheet6!$A$2:$B$500,2,FALSE),0)</f>
        <v>0</v>
      </c>
      <c r="S57" s="41">
        <f>IFERROR(VLOOKUP(E57,Sheet6!$C$2:$D$35017,2,FALSE),0)</f>
        <v>0</v>
      </c>
      <c r="U57" s="9">
        <f>IFERROR(VLOOKUP(E57,Sheet2!$AA$1:$AB$975,2,FALSE),0)</f>
        <v>5</v>
      </c>
      <c r="V57" s="41">
        <f>IFERROR(VLOOKUP(E57,Sheet2!$AC$1:$AD$975,2,FALSE),0)</f>
        <v>70</v>
      </c>
      <c r="W57" s="42">
        <f>IFERROR(VLOOKUP(E57,Sheet2!$AE$1:$AF$975,2,FALSE),0)</f>
        <v>18</v>
      </c>
      <c r="X57" s="43">
        <f>IFERROR(VLOOKUP(E57,Sheet2!$AG$1:$AH$975,2,FALSE),0)</f>
        <v>1</v>
      </c>
      <c r="Z57" s="60">
        <f>IFERROR(VLOOKUP(F57,Sheet2!$AA$1:$AB$975,2,FALSE),0)</f>
        <v>0</v>
      </c>
      <c r="AA57" s="64">
        <f>IFERROR(VLOOKUP(F57,Sheet2!$AC$1:$AD$975,2,FALSE),0)</f>
        <v>0</v>
      </c>
      <c r="AB57" s="65">
        <f>IFERROR(VLOOKUP(F57,Sheet2!$AE$2:$AF$6539,2,FALSE),0)</f>
        <v>0</v>
      </c>
      <c r="AC57" s="43">
        <f>IFERROR(VLOOKUP(F57,Sheet2!$AG$2:$AH$6539,2,FALSE),0)</f>
        <v>0</v>
      </c>
      <c r="AE57" s="112">
        <v>15</v>
      </c>
      <c r="AF57" s="9">
        <v>0</v>
      </c>
      <c r="AG57" s="9">
        <v>0</v>
      </c>
      <c r="AH57" s="9">
        <v>0</v>
      </c>
      <c r="AI57" s="9">
        <v>0</v>
      </c>
      <c r="AJ57" s="9">
        <f t="shared" si="2"/>
        <v>15</v>
      </c>
      <c r="AK57" s="45">
        <f t="shared" si="3"/>
        <v>90.72</v>
      </c>
      <c r="AL57" s="68">
        <v>0</v>
      </c>
      <c r="AM57" s="68">
        <v>0</v>
      </c>
    </row>
    <row r="58" spans="1:39" x14ac:dyDescent="0.2">
      <c r="A58" s="57" t="s">
        <v>2082</v>
      </c>
      <c r="B58" s="47">
        <v>46173</v>
      </c>
      <c r="C58" s="48"/>
      <c r="D58" s="48" t="s">
        <v>1265</v>
      </c>
      <c r="E58" s="49" t="s">
        <v>144</v>
      </c>
      <c r="F58" s="49" t="s">
        <v>145</v>
      </c>
      <c r="G58" s="47" t="e">
        <v>#N/A</v>
      </c>
      <c r="H58" s="47" t="s">
        <v>22</v>
      </c>
      <c r="I58" s="9" t="s">
        <v>139</v>
      </c>
      <c r="J58" s="40" t="s">
        <v>1672</v>
      </c>
      <c r="K58" s="9" t="s">
        <v>41</v>
      </c>
      <c r="L58" s="9" t="s">
        <v>29</v>
      </c>
      <c r="M58" s="11"/>
      <c r="N58" s="11"/>
      <c r="O58" s="50">
        <v>6.048</v>
      </c>
      <c r="R58" s="9">
        <f>IFERROR(VLOOKUP(E58,Sheet6!$A$2:$B$500,2,FALSE),0)</f>
        <v>0</v>
      </c>
      <c r="S58" s="41">
        <f>IFERROR(VLOOKUP(E58,Sheet6!$C$2:$D$35017,2,FALSE),0)</f>
        <v>0</v>
      </c>
      <c r="U58" s="9">
        <f>IFERROR(VLOOKUP(E58,Sheet2!$AA$1:$AB$975,2,FALSE),0)</f>
        <v>0</v>
      </c>
      <c r="V58" s="41">
        <f>IFERROR(VLOOKUP(E58,Sheet2!$AC$1:$AD$975,2,FALSE),0)</f>
        <v>0</v>
      </c>
      <c r="W58" s="42">
        <f>IFERROR(VLOOKUP(E58,Sheet2!$AE$1:$AF$975,2,FALSE),0)</f>
        <v>0</v>
      </c>
      <c r="X58" s="43">
        <f>IFERROR(VLOOKUP(E58,Sheet2!$AG$1:$AH$975,2,FALSE),0)</f>
        <v>0</v>
      </c>
      <c r="Z58" s="60">
        <f>IFERROR(VLOOKUP(F58,Sheet2!$AA$1:$AB$975,2,FALSE),0)</f>
        <v>0</v>
      </c>
      <c r="AA58" s="64">
        <f>IFERROR(VLOOKUP(F58,Sheet2!$AC$1:$AD$975,2,FALSE),0)</f>
        <v>0</v>
      </c>
      <c r="AB58" s="65">
        <f>IFERROR(VLOOKUP(F58,Sheet2!$AE$2:$AF$6539,2,FALSE),0)</f>
        <v>0</v>
      </c>
      <c r="AC58" s="43">
        <f>IFERROR(VLOOKUP(F58,Sheet2!$AG$2:$AH$6539,2,FALSE),0)</f>
        <v>0</v>
      </c>
      <c r="AE58" s="112">
        <v>12</v>
      </c>
      <c r="AF58" s="9">
        <v>0</v>
      </c>
      <c r="AG58" s="9">
        <v>0</v>
      </c>
      <c r="AH58" s="9">
        <v>0</v>
      </c>
      <c r="AI58" s="9">
        <v>0</v>
      </c>
      <c r="AJ58" s="9">
        <f t="shared" si="2"/>
        <v>12</v>
      </c>
      <c r="AK58" s="45">
        <f t="shared" si="3"/>
        <v>72.575999999999993</v>
      </c>
      <c r="AL58" s="68">
        <v>0</v>
      </c>
      <c r="AM58" s="68">
        <v>0</v>
      </c>
    </row>
    <row r="59" spans="1:39" x14ac:dyDescent="0.2">
      <c r="A59" s="57" t="s">
        <v>2082</v>
      </c>
      <c r="B59" s="47">
        <v>46173</v>
      </c>
      <c r="C59" s="48"/>
      <c r="D59" s="48" t="s">
        <v>1266</v>
      </c>
      <c r="E59" s="49" t="s">
        <v>146</v>
      </c>
      <c r="F59" s="49" t="s">
        <v>147</v>
      </c>
      <c r="G59" s="47" t="e">
        <v>#N/A</v>
      </c>
      <c r="H59" s="47" t="s">
        <v>22</v>
      </c>
      <c r="I59" s="9" t="s">
        <v>139</v>
      </c>
      <c r="J59" s="40" t="s">
        <v>1672</v>
      </c>
      <c r="K59" s="9" t="s">
        <v>41</v>
      </c>
      <c r="L59" s="9" t="s">
        <v>32</v>
      </c>
      <c r="M59" s="11"/>
      <c r="N59" s="11"/>
      <c r="O59" s="50">
        <v>6.048</v>
      </c>
      <c r="R59" s="9">
        <f>IFERROR(VLOOKUP(E59,Sheet6!$A$2:$B$500,2,FALSE),0)</f>
        <v>1</v>
      </c>
      <c r="S59" s="41">
        <f>IFERROR(VLOOKUP(E59,Sheet6!$C$2:$D$35017,2,FALSE),0)</f>
        <v>14</v>
      </c>
      <c r="U59" s="9">
        <f>IFERROR(VLOOKUP(E59,Sheet2!$AA$1:$AB$975,2,FALSE),0)</f>
        <v>0</v>
      </c>
      <c r="V59" s="41">
        <f>IFERROR(VLOOKUP(E59,Sheet2!$AC$1:$AD$975,2,FALSE),0)</f>
        <v>0</v>
      </c>
      <c r="W59" s="42">
        <f>IFERROR(VLOOKUP(E59,Sheet2!$AE$1:$AF$975,2,FALSE),0)</f>
        <v>0</v>
      </c>
      <c r="X59" s="43">
        <f>IFERROR(VLOOKUP(E59,Sheet2!$AG$1:$AH$975,2,FALSE),0)</f>
        <v>0</v>
      </c>
      <c r="Z59" s="60">
        <f>IFERROR(VLOOKUP(F59,Sheet2!$AA$1:$AB$975,2,FALSE),0)</f>
        <v>0</v>
      </c>
      <c r="AA59" s="64">
        <f>IFERROR(VLOOKUP(F59,Sheet2!$AC$1:$AD$975,2,FALSE),0)</f>
        <v>0</v>
      </c>
      <c r="AB59" s="65">
        <f>IFERROR(VLOOKUP(F59,Sheet2!$AE$2:$AF$6539,2,FALSE),0)</f>
        <v>0</v>
      </c>
      <c r="AC59" s="43">
        <f>IFERROR(VLOOKUP(F59,Sheet2!$AG$2:$AH$6539,2,FALSE),0)</f>
        <v>0</v>
      </c>
      <c r="AE59" s="112">
        <v>26</v>
      </c>
      <c r="AF59" s="9">
        <v>0</v>
      </c>
      <c r="AG59" s="9">
        <v>0</v>
      </c>
      <c r="AH59" s="9">
        <v>0</v>
      </c>
      <c r="AI59" s="9">
        <v>0</v>
      </c>
      <c r="AJ59" s="9">
        <f t="shared" si="2"/>
        <v>26</v>
      </c>
      <c r="AK59" s="45">
        <f t="shared" si="3"/>
        <v>157.24799999999999</v>
      </c>
      <c r="AL59" s="68">
        <v>0</v>
      </c>
      <c r="AM59" s="68">
        <v>6</v>
      </c>
    </row>
    <row r="60" spans="1:39" x14ac:dyDescent="0.2">
      <c r="A60" s="57" t="s">
        <v>2082</v>
      </c>
      <c r="B60" s="47">
        <v>46173</v>
      </c>
      <c r="C60" s="48"/>
      <c r="D60" s="48" t="s">
        <v>1267</v>
      </c>
      <c r="E60" s="49" t="s">
        <v>148</v>
      </c>
      <c r="F60" s="49" t="s">
        <v>149</v>
      </c>
      <c r="G60" s="47" t="e">
        <v>#N/A</v>
      </c>
      <c r="H60" s="47" t="s">
        <v>22</v>
      </c>
      <c r="I60" s="9" t="s">
        <v>139</v>
      </c>
      <c r="J60" s="40" t="s">
        <v>1672</v>
      </c>
      <c r="K60" s="9" t="s">
        <v>41</v>
      </c>
      <c r="L60" s="9" t="s">
        <v>35</v>
      </c>
      <c r="M60" s="11"/>
      <c r="N60" s="11"/>
      <c r="O60" s="50">
        <v>6.048</v>
      </c>
      <c r="R60" s="9">
        <f>IFERROR(VLOOKUP(E60,Sheet6!$A$2:$B$500,2,FALSE),0)</f>
        <v>0</v>
      </c>
      <c r="S60" s="41">
        <f>IFERROR(VLOOKUP(E60,Sheet6!$C$2:$D$35017,2,FALSE),0)</f>
        <v>0</v>
      </c>
      <c r="U60" s="9">
        <f>IFERROR(VLOOKUP(E60,Sheet2!$AA$1:$AB$975,2,FALSE),0)</f>
        <v>1</v>
      </c>
      <c r="V60" s="41">
        <f>IFERROR(VLOOKUP(E60,Sheet2!$AC$1:$AD$975,2,FALSE),0)</f>
        <v>14</v>
      </c>
      <c r="W60" s="42">
        <f>IFERROR(VLOOKUP(E60,Sheet2!$AE$1:$AF$975,2,FALSE),0)</f>
        <v>8</v>
      </c>
      <c r="X60" s="43">
        <f>IFERROR(VLOOKUP(E60,Sheet2!$AG$1:$AH$975,2,FALSE),0)</f>
        <v>1</v>
      </c>
      <c r="Z60" s="60">
        <f>IFERROR(VLOOKUP(F60,Sheet2!$AA$1:$AB$975,2,FALSE),0)</f>
        <v>0</v>
      </c>
      <c r="AA60" s="64">
        <f>IFERROR(VLOOKUP(F60,Sheet2!$AC$1:$AD$975,2,FALSE),0)</f>
        <v>0</v>
      </c>
      <c r="AB60" s="65">
        <f>IFERROR(VLOOKUP(F60,Sheet2!$AE$2:$AF$6539,2,FALSE),0)</f>
        <v>0</v>
      </c>
      <c r="AC60" s="43">
        <f>IFERROR(VLOOKUP(F60,Sheet2!$AG$2:$AH$6539,2,FALSE),0)</f>
        <v>0</v>
      </c>
      <c r="AE60" s="112">
        <v>32</v>
      </c>
      <c r="AF60" s="9">
        <v>0</v>
      </c>
      <c r="AG60" s="9">
        <v>0</v>
      </c>
      <c r="AH60" s="9">
        <v>0</v>
      </c>
      <c r="AI60" s="9">
        <v>0</v>
      </c>
      <c r="AJ60" s="9">
        <f t="shared" si="2"/>
        <v>32</v>
      </c>
      <c r="AK60" s="45">
        <f t="shared" si="3"/>
        <v>193.536</v>
      </c>
      <c r="AL60" s="68">
        <v>0</v>
      </c>
      <c r="AM60" s="68">
        <v>30</v>
      </c>
    </row>
    <row r="61" spans="1:39" x14ac:dyDescent="0.2">
      <c r="A61" s="57" t="s">
        <v>2082</v>
      </c>
      <c r="B61" s="47">
        <v>46173</v>
      </c>
      <c r="C61" s="48"/>
      <c r="D61" s="48" t="s">
        <v>1268</v>
      </c>
      <c r="E61" s="49" t="s">
        <v>150</v>
      </c>
      <c r="F61" s="49" t="s">
        <v>151</v>
      </c>
      <c r="G61" s="47" t="e">
        <v>#N/A</v>
      </c>
      <c r="H61" s="47" t="s">
        <v>22</v>
      </c>
      <c r="I61" s="9" t="s">
        <v>139</v>
      </c>
      <c r="J61" s="40" t="s">
        <v>1672</v>
      </c>
      <c r="K61" s="9" t="s">
        <v>152</v>
      </c>
      <c r="L61" s="9" t="s">
        <v>32</v>
      </c>
      <c r="M61" s="11"/>
      <c r="N61" s="11"/>
      <c r="O61" s="50">
        <v>6.048</v>
      </c>
      <c r="R61" s="9">
        <f>IFERROR(VLOOKUP(E61,Sheet6!$A$2:$B$500,2,FALSE),0)</f>
        <v>0</v>
      </c>
      <c r="S61" s="41">
        <f>IFERROR(VLOOKUP(E61,Sheet6!$C$2:$D$35017,2,FALSE),0)</f>
        <v>0</v>
      </c>
      <c r="U61" s="9">
        <f>IFERROR(VLOOKUP(E61,Sheet2!$AA$1:$AB$975,2,FALSE),0)</f>
        <v>0</v>
      </c>
      <c r="V61" s="41">
        <f>IFERROR(VLOOKUP(E61,Sheet2!$AC$1:$AD$975,2,FALSE),0)</f>
        <v>0</v>
      </c>
      <c r="W61" s="42">
        <f>IFERROR(VLOOKUP(E61,Sheet2!$AE$1:$AF$975,2,FALSE),0)</f>
        <v>0</v>
      </c>
      <c r="X61" s="43">
        <f>IFERROR(VLOOKUP(E61,Sheet2!$AG$1:$AH$975,2,FALSE),0)</f>
        <v>0</v>
      </c>
      <c r="Z61" s="60">
        <f>IFERROR(VLOOKUP(F61,Sheet2!$AA$1:$AB$975,2,FALSE),0)</f>
        <v>0</v>
      </c>
      <c r="AA61" s="64">
        <f>IFERROR(VLOOKUP(F61,Sheet2!$AC$1:$AD$975,2,FALSE),0)</f>
        <v>0</v>
      </c>
      <c r="AB61" s="65">
        <f>IFERROR(VLOOKUP(F61,Sheet2!$AE$2:$AF$6539,2,FALSE),0)</f>
        <v>0</v>
      </c>
      <c r="AC61" s="43">
        <f>IFERROR(VLOOKUP(F61,Sheet2!$AG$2:$AH$6539,2,FALSE),0)</f>
        <v>0</v>
      </c>
      <c r="AE61" s="112">
        <v>0</v>
      </c>
      <c r="AF61" s="9">
        <v>0</v>
      </c>
      <c r="AG61" s="9">
        <v>0</v>
      </c>
      <c r="AH61" s="9">
        <v>0</v>
      </c>
      <c r="AI61" s="9">
        <v>0</v>
      </c>
      <c r="AJ61" s="9">
        <f t="shared" si="2"/>
        <v>0</v>
      </c>
      <c r="AK61" s="45">
        <f t="shared" si="3"/>
        <v>0</v>
      </c>
      <c r="AL61" s="68">
        <v>0</v>
      </c>
      <c r="AM61" s="68">
        <v>0</v>
      </c>
    </row>
    <row r="62" spans="1:39" x14ac:dyDescent="0.2">
      <c r="A62" s="57" t="s">
        <v>2082</v>
      </c>
      <c r="B62" s="47">
        <v>46173</v>
      </c>
      <c r="C62" s="111"/>
      <c r="D62" s="48" t="s">
        <v>1269</v>
      </c>
      <c r="E62" s="49" t="s">
        <v>153</v>
      </c>
      <c r="F62" s="49" t="s">
        <v>154</v>
      </c>
      <c r="G62" s="47" t="e">
        <v>#N/A</v>
      </c>
      <c r="H62" s="47" t="s">
        <v>22</v>
      </c>
      <c r="I62" s="9" t="s">
        <v>155</v>
      </c>
      <c r="J62" s="40" t="s">
        <v>156</v>
      </c>
      <c r="K62" s="9" t="s">
        <v>41</v>
      </c>
      <c r="L62" s="9" t="s">
        <v>32</v>
      </c>
      <c r="M62" s="11"/>
      <c r="N62" s="11"/>
      <c r="O62" s="50">
        <v>6.9119999999999999</v>
      </c>
      <c r="R62" s="9">
        <f>IFERROR(VLOOKUP(E62,Sheet6!$A$2:$B$500,2,FALSE),0)</f>
        <v>2</v>
      </c>
      <c r="S62" s="41">
        <f>IFERROR(VLOOKUP(E62,Sheet6!$C$2:$D$35017,2,FALSE),0)</f>
        <v>32</v>
      </c>
      <c r="U62" s="9">
        <f>IFERROR(VLOOKUP(E62,Sheet2!$AA$1:$AB$975,2,FALSE),0)</f>
        <v>2</v>
      </c>
      <c r="V62" s="41">
        <f>IFERROR(VLOOKUP(E62,Sheet2!$AC$1:$AD$975,2,FALSE),0)</f>
        <v>32</v>
      </c>
      <c r="W62" s="42">
        <f>IFERROR(VLOOKUP(E62,Sheet2!$AE$1:$AF$975,2,FALSE),0)</f>
        <v>26</v>
      </c>
      <c r="X62" s="43">
        <f>IFERROR(VLOOKUP(E62,Sheet2!$AG$1:$AH$975,2,FALSE),0)</f>
        <v>1</v>
      </c>
      <c r="Z62" s="60">
        <f>IFERROR(VLOOKUP(F62,Sheet2!$AA$1:$AB$975,2,FALSE),0)</f>
        <v>0</v>
      </c>
      <c r="AA62" s="64">
        <f>IFERROR(VLOOKUP(F62,Sheet2!$AC$1:$AD$975,2,FALSE),0)</f>
        <v>0</v>
      </c>
      <c r="AB62" s="65">
        <f>IFERROR(VLOOKUP(F62,Sheet2!$AE$2:$AF$6539,2,FALSE),0)</f>
        <v>0</v>
      </c>
      <c r="AC62" s="43">
        <f>IFERROR(VLOOKUP(F62,Sheet2!$AG$2:$AH$6539,2,FALSE),0)</f>
        <v>0</v>
      </c>
      <c r="AE62" s="112">
        <v>23</v>
      </c>
      <c r="AF62" s="9">
        <v>0</v>
      </c>
      <c r="AG62" s="9">
        <v>0</v>
      </c>
      <c r="AH62" s="9">
        <v>0</v>
      </c>
      <c r="AI62" s="9">
        <v>0</v>
      </c>
      <c r="AJ62" s="9">
        <f t="shared" si="2"/>
        <v>23</v>
      </c>
      <c r="AK62" s="45">
        <f t="shared" si="3"/>
        <v>158.976</v>
      </c>
      <c r="AL62" s="68">
        <v>0</v>
      </c>
      <c r="AM62" s="68">
        <v>0</v>
      </c>
    </row>
    <row r="63" spans="1:39" x14ac:dyDescent="0.2">
      <c r="A63" s="57" t="s">
        <v>2082</v>
      </c>
      <c r="B63" s="47">
        <v>46173</v>
      </c>
      <c r="C63" s="48"/>
      <c r="D63" s="48" t="s">
        <v>1270</v>
      </c>
      <c r="E63" s="49" t="s">
        <v>157</v>
      </c>
      <c r="F63" s="49" t="s">
        <v>158</v>
      </c>
      <c r="G63" s="47" t="e">
        <v>#N/A</v>
      </c>
      <c r="H63" s="47" t="s">
        <v>22</v>
      </c>
      <c r="I63" s="40" t="s">
        <v>159</v>
      </c>
      <c r="J63" s="40" t="s">
        <v>1661</v>
      </c>
      <c r="K63" s="40" t="s">
        <v>24</v>
      </c>
      <c r="L63" s="40" t="s">
        <v>29</v>
      </c>
      <c r="M63" s="11"/>
      <c r="N63" s="11"/>
      <c r="O63" s="50">
        <v>6.9119999999999999</v>
      </c>
      <c r="R63" s="9">
        <f>IFERROR(VLOOKUP(E63,Sheet6!$A$2:$B$500,2,FALSE),0)</f>
        <v>0</v>
      </c>
      <c r="S63" s="41">
        <f>IFERROR(VLOOKUP(E63,Sheet6!$C$2:$D$35017,2,FALSE),0)</f>
        <v>0</v>
      </c>
      <c r="U63" s="9">
        <f>IFERROR(VLOOKUP(E63,Sheet2!$AA$1:$AB$975,2,FALSE),0)</f>
        <v>0</v>
      </c>
      <c r="V63" s="41">
        <f>IFERROR(VLOOKUP(E63,Sheet2!$AC$1:$AD$975,2,FALSE),0)</f>
        <v>0</v>
      </c>
      <c r="W63" s="42">
        <f>IFERROR(VLOOKUP(E63,Sheet2!$AE$1:$AF$975,2,FALSE),0)</f>
        <v>0</v>
      </c>
      <c r="X63" s="43">
        <f>IFERROR(VLOOKUP(E63,Sheet2!$AG$1:$AH$975,2,FALSE),0)</f>
        <v>0</v>
      </c>
      <c r="Z63" s="60">
        <f>IFERROR(VLOOKUP(F63,Sheet2!$AA$1:$AB$975,2,FALSE),0)</f>
        <v>0</v>
      </c>
      <c r="AA63" s="64">
        <f>IFERROR(VLOOKUP(F63,Sheet2!$AC$1:$AD$975,2,FALSE),0)</f>
        <v>0</v>
      </c>
      <c r="AB63" s="65">
        <f>IFERROR(VLOOKUP(F63,Sheet2!$AE$2:$AF$6539,2,FALSE),0)</f>
        <v>0</v>
      </c>
      <c r="AC63" s="43">
        <f>IFERROR(VLOOKUP(F63,Sheet2!$AG$2:$AH$6539,2,FALSE),0)</f>
        <v>0</v>
      </c>
      <c r="AE63" s="112">
        <v>62</v>
      </c>
      <c r="AF63" s="9">
        <v>0</v>
      </c>
      <c r="AG63" s="9">
        <v>0</v>
      </c>
      <c r="AH63" s="9">
        <v>0</v>
      </c>
      <c r="AI63" s="9">
        <v>0</v>
      </c>
      <c r="AJ63" s="9">
        <f t="shared" si="2"/>
        <v>62</v>
      </c>
      <c r="AK63" s="45">
        <f t="shared" si="3"/>
        <v>428.54399999999998</v>
      </c>
      <c r="AL63" s="68">
        <v>0</v>
      </c>
      <c r="AM63" s="68">
        <v>0</v>
      </c>
    </row>
    <row r="64" spans="1:39" x14ac:dyDescent="0.2">
      <c r="A64" s="57" t="s">
        <v>2082</v>
      </c>
      <c r="B64" s="47">
        <v>46173</v>
      </c>
      <c r="C64" s="48"/>
      <c r="D64" s="48" t="s">
        <v>1271</v>
      </c>
      <c r="E64" s="49" t="s">
        <v>160</v>
      </c>
      <c r="F64" s="49" t="s">
        <v>161</v>
      </c>
      <c r="G64" s="47" t="e">
        <v>#N/A</v>
      </c>
      <c r="H64" s="47" t="s">
        <v>22</v>
      </c>
      <c r="I64" s="40" t="s">
        <v>159</v>
      </c>
      <c r="J64" s="40" t="s">
        <v>1661</v>
      </c>
      <c r="K64" s="40" t="s">
        <v>24</v>
      </c>
      <c r="L64" s="40" t="s">
        <v>32</v>
      </c>
      <c r="M64" s="11"/>
      <c r="N64" s="11"/>
      <c r="O64" s="50">
        <v>6.9119999999999999</v>
      </c>
      <c r="R64" s="9">
        <f>IFERROR(VLOOKUP(E64,Sheet6!$A$2:$B$500,2,FALSE),0)</f>
        <v>0</v>
      </c>
      <c r="S64" s="41">
        <f>IFERROR(VLOOKUP(E64,Sheet6!$C$2:$D$35017,2,FALSE),0)</f>
        <v>0</v>
      </c>
      <c r="U64" s="9">
        <f>IFERROR(VLOOKUP(E64,Sheet2!$AA$1:$AB$975,2,FALSE),0)</f>
        <v>2</v>
      </c>
      <c r="V64" s="41">
        <f>IFERROR(VLOOKUP(E64,Sheet2!$AC$1:$AD$975,2,FALSE),0)</f>
        <v>32</v>
      </c>
      <c r="W64" s="42">
        <f>IFERROR(VLOOKUP(E64,Sheet2!$AE$1:$AF$975,2,FALSE),0)</f>
        <v>27</v>
      </c>
      <c r="X64" s="43">
        <f>IFERROR(VLOOKUP(E64,Sheet2!$AG$1:$AH$975,2,FALSE),0)</f>
        <v>1</v>
      </c>
      <c r="Z64" s="60">
        <f>IFERROR(VLOOKUP(F64,Sheet2!$AA$1:$AB$975,2,FALSE),0)</f>
        <v>0</v>
      </c>
      <c r="AA64" s="64">
        <f>IFERROR(VLOOKUP(F64,Sheet2!$AC$1:$AD$975,2,FALSE),0)</f>
        <v>0</v>
      </c>
      <c r="AB64" s="65">
        <f>IFERROR(VLOOKUP(F64,Sheet2!$AE$2:$AF$6539,2,FALSE),0)</f>
        <v>0</v>
      </c>
      <c r="AC64" s="43">
        <f>IFERROR(VLOOKUP(F64,Sheet2!$AG$2:$AH$6539,2,FALSE),0)</f>
        <v>0</v>
      </c>
      <c r="AE64" s="112">
        <v>68</v>
      </c>
      <c r="AF64" s="9">
        <v>0</v>
      </c>
      <c r="AG64" s="9">
        <v>4</v>
      </c>
      <c r="AH64" s="9">
        <v>0</v>
      </c>
      <c r="AI64" s="9">
        <v>4</v>
      </c>
      <c r="AJ64" s="9">
        <f t="shared" si="2"/>
        <v>72</v>
      </c>
      <c r="AK64" s="45">
        <f t="shared" si="3"/>
        <v>497.66399999999999</v>
      </c>
      <c r="AL64" s="68">
        <v>6</v>
      </c>
      <c r="AM64" s="68">
        <v>12</v>
      </c>
    </row>
    <row r="65" spans="1:39" x14ac:dyDescent="0.2">
      <c r="A65" s="57" t="s">
        <v>2082</v>
      </c>
      <c r="B65" s="47">
        <v>46173</v>
      </c>
      <c r="C65" s="48"/>
      <c r="D65" s="48" t="s">
        <v>1272</v>
      </c>
      <c r="E65" s="49" t="s">
        <v>162</v>
      </c>
      <c r="F65" s="49" t="s">
        <v>163</v>
      </c>
      <c r="G65" s="47" t="e">
        <v>#N/A</v>
      </c>
      <c r="H65" s="47" t="s">
        <v>22</v>
      </c>
      <c r="I65" s="40" t="s">
        <v>159</v>
      </c>
      <c r="J65" s="40" t="s">
        <v>1661</v>
      </c>
      <c r="K65" s="40" t="s">
        <v>24</v>
      </c>
      <c r="L65" s="40" t="s">
        <v>35</v>
      </c>
      <c r="M65" s="11"/>
      <c r="N65" s="11"/>
      <c r="O65" s="50">
        <v>6.9119999999999999</v>
      </c>
      <c r="R65" s="9">
        <f>IFERROR(VLOOKUP(E65,Sheet6!$A$2:$B$500,2,FALSE),0)</f>
        <v>0</v>
      </c>
      <c r="S65" s="41">
        <f>IFERROR(VLOOKUP(E65,Sheet6!$C$2:$D$35017,2,FALSE),0)</f>
        <v>0</v>
      </c>
      <c r="U65" s="9">
        <f>IFERROR(VLOOKUP(E65,Sheet2!$AA$1:$AB$975,2,FALSE),0)</f>
        <v>4</v>
      </c>
      <c r="V65" s="41">
        <f>IFERROR(VLOOKUP(E65,Sheet2!$AC$1:$AD$975,2,FALSE),0)</f>
        <v>64</v>
      </c>
      <c r="W65" s="42">
        <f>IFERROR(VLOOKUP(E65,Sheet2!$AE$1:$AF$975,2,FALSE),0)</f>
        <v>25</v>
      </c>
      <c r="X65" s="43">
        <f>IFERROR(VLOOKUP(E65,Sheet2!$AG$1:$AH$975,2,FALSE),0)</f>
        <v>1</v>
      </c>
      <c r="Z65" s="60">
        <f>IFERROR(VLOOKUP(F65,Sheet2!$AA$1:$AB$975,2,FALSE),0)</f>
        <v>0</v>
      </c>
      <c r="AA65" s="64">
        <f>IFERROR(VLOOKUP(F65,Sheet2!$AC$1:$AD$975,2,FALSE),0)</f>
        <v>0</v>
      </c>
      <c r="AB65" s="65">
        <f>IFERROR(VLOOKUP(F65,Sheet2!$AE$2:$AF$6539,2,FALSE),0)</f>
        <v>0</v>
      </c>
      <c r="AC65" s="43">
        <f>IFERROR(VLOOKUP(F65,Sheet2!$AG$2:$AH$6539,2,FALSE),0)</f>
        <v>0</v>
      </c>
      <c r="AE65" s="112">
        <v>73</v>
      </c>
      <c r="AF65" s="9">
        <v>0</v>
      </c>
      <c r="AG65" s="9">
        <v>0</v>
      </c>
      <c r="AH65" s="9">
        <v>0</v>
      </c>
      <c r="AI65" s="9">
        <v>0</v>
      </c>
      <c r="AJ65" s="9">
        <f t="shared" si="2"/>
        <v>73</v>
      </c>
      <c r="AK65" s="45">
        <f t="shared" si="3"/>
        <v>504.57600000000002</v>
      </c>
      <c r="AL65" s="68">
        <v>0</v>
      </c>
      <c r="AM65" s="68">
        <v>0</v>
      </c>
    </row>
    <row r="66" spans="1:39" x14ac:dyDescent="0.2">
      <c r="A66" s="57" t="s">
        <v>2082</v>
      </c>
      <c r="B66" s="47">
        <v>46173</v>
      </c>
      <c r="C66" s="48"/>
      <c r="D66" s="48" t="s">
        <v>1273</v>
      </c>
      <c r="E66" s="49" t="s">
        <v>164</v>
      </c>
      <c r="F66" s="49" t="s">
        <v>165</v>
      </c>
      <c r="G66" s="47" t="e">
        <v>#N/A</v>
      </c>
      <c r="H66" s="47" t="s">
        <v>22</v>
      </c>
      <c r="I66" s="9" t="s">
        <v>159</v>
      </c>
      <c r="J66" s="40" t="s">
        <v>1661</v>
      </c>
      <c r="K66" s="40" t="s">
        <v>24</v>
      </c>
      <c r="L66" s="9" t="s">
        <v>38</v>
      </c>
      <c r="M66" s="11"/>
      <c r="N66" s="11"/>
      <c r="O66" s="50">
        <v>6.9119999999999999</v>
      </c>
      <c r="R66" s="9">
        <f>IFERROR(VLOOKUP(E66,Sheet6!$A$2:$B$500,2,FALSE),0)</f>
        <v>0</v>
      </c>
      <c r="S66" s="41">
        <f>IFERROR(VLOOKUP(E66,Sheet6!$C$2:$D$35017,2,FALSE),0)</f>
        <v>0</v>
      </c>
      <c r="U66" s="9">
        <f>IFERROR(VLOOKUP(E66,Sheet2!$AA$1:$AB$975,2,FALSE),0)</f>
        <v>6</v>
      </c>
      <c r="V66" s="41">
        <f>IFERROR(VLOOKUP(E66,Sheet2!$AC$1:$AD$975,2,FALSE),0)</f>
        <v>96</v>
      </c>
      <c r="W66" s="42">
        <f>IFERROR(VLOOKUP(E66,Sheet2!$AE$1:$AF$975,2,FALSE),0)</f>
        <v>11</v>
      </c>
      <c r="X66" s="43">
        <f>IFERROR(VLOOKUP(E66,Sheet2!$AG$1:$AH$975,2,FALSE),0)</f>
        <v>1</v>
      </c>
      <c r="Z66" s="60">
        <f>IFERROR(VLOOKUP(F66,Sheet2!$AA$1:$AB$975,2,FALSE),0)</f>
        <v>0</v>
      </c>
      <c r="AA66" s="64">
        <f>IFERROR(VLOOKUP(F66,Sheet2!$AC$1:$AD$975,2,FALSE),0)</f>
        <v>0</v>
      </c>
      <c r="AB66" s="65">
        <f>IFERROR(VLOOKUP(F66,Sheet2!$AE$2:$AF$6539,2,FALSE),0)</f>
        <v>0</v>
      </c>
      <c r="AC66" s="43">
        <f>IFERROR(VLOOKUP(F66,Sheet2!$AG$2:$AH$6539,2,FALSE),0)</f>
        <v>0</v>
      </c>
      <c r="AE66" s="112">
        <v>15</v>
      </c>
      <c r="AF66" s="9">
        <v>0</v>
      </c>
      <c r="AG66" s="9">
        <v>0</v>
      </c>
      <c r="AH66" s="9">
        <v>0</v>
      </c>
      <c r="AI66" s="9">
        <v>0</v>
      </c>
      <c r="AJ66" s="9">
        <f t="shared" si="2"/>
        <v>15</v>
      </c>
      <c r="AK66" s="45">
        <f t="shared" si="3"/>
        <v>103.67999999999999</v>
      </c>
      <c r="AL66" s="68">
        <v>0</v>
      </c>
      <c r="AM66" s="68">
        <v>0</v>
      </c>
    </row>
    <row r="67" spans="1:39" x14ac:dyDescent="0.2">
      <c r="A67" s="57" t="s">
        <v>2082</v>
      </c>
      <c r="B67" s="47">
        <v>46173</v>
      </c>
      <c r="C67" s="48"/>
      <c r="D67" s="48" t="s">
        <v>1274</v>
      </c>
      <c r="E67" s="49" t="s">
        <v>166</v>
      </c>
      <c r="F67" s="49" t="s">
        <v>167</v>
      </c>
      <c r="G67" s="47" t="e">
        <v>#N/A</v>
      </c>
      <c r="H67" s="47" t="s">
        <v>22</v>
      </c>
      <c r="I67" s="40" t="s">
        <v>159</v>
      </c>
      <c r="J67" s="40" t="s">
        <v>1661</v>
      </c>
      <c r="K67" s="40" t="s">
        <v>41</v>
      </c>
      <c r="L67" s="40" t="s">
        <v>29</v>
      </c>
      <c r="M67" s="11"/>
      <c r="N67" s="11"/>
      <c r="O67" s="50">
        <v>6.9119999999999999</v>
      </c>
      <c r="R67" s="9">
        <f>IFERROR(VLOOKUP(E67,Sheet6!$A$2:$B$500,2,FALSE),0)</f>
        <v>0</v>
      </c>
      <c r="S67" s="41">
        <f>IFERROR(VLOOKUP(E67,Sheet6!$C$2:$D$35017,2,FALSE),0)</f>
        <v>0</v>
      </c>
      <c r="U67" s="9">
        <f>IFERROR(VLOOKUP(E67,Sheet2!$AA$1:$AB$975,2,FALSE),0)</f>
        <v>4</v>
      </c>
      <c r="V67" s="41">
        <f>IFERROR(VLOOKUP(E67,Sheet2!$AC$1:$AD$975,2,FALSE),0)</f>
        <v>64</v>
      </c>
      <c r="W67" s="42">
        <f>IFERROR(VLOOKUP(E67,Sheet2!$AE$1:$AF$975,2,FALSE),0)</f>
        <v>6</v>
      </c>
      <c r="X67" s="43">
        <f>IFERROR(VLOOKUP(E67,Sheet2!$AG$1:$AH$975,2,FALSE),0)</f>
        <v>0.88890000000000002</v>
      </c>
      <c r="Z67" s="60">
        <f>IFERROR(VLOOKUP(F67,Sheet2!$AA$1:$AB$975,2,FALSE),0)</f>
        <v>0</v>
      </c>
      <c r="AA67" s="64">
        <f>IFERROR(VLOOKUP(F67,Sheet2!$AC$1:$AD$975,2,FALSE),0)</f>
        <v>0</v>
      </c>
      <c r="AB67" s="65">
        <f>IFERROR(VLOOKUP(F67,Sheet2!$AE$2:$AF$6539,2,FALSE),0)</f>
        <v>0</v>
      </c>
      <c r="AC67" s="43">
        <f>IFERROR(VLOOKUP(F67,Sheet2!$AG$2:$AH$6539,2,FALSE),0)</f>
        <v>0</v>
      </c>
      <c r="AE67" s="112">
        <v>20</v>
      </c>
      <c r="AF67" s="9">
        <v>0</v>
      </c>
      <c r="AG67" s="9">
        <v>0</v>
      </c>
      <c r="AH67" s="9">
        <v>0</v>
      </c>
      <c r="AI67" s="9">
        <v>0</v>
      </c>
      <c r="AJ67" s="9">
        <f t="shared" si="2"/>
        <v>20</v>
      </c>
      <c r="AK67" s="45">
        <f t="shared" si="3"/>
        <v>138.24</v>
      </c>
      <c r="AL67" s="68">
        <v>0</v>
      </c>
      <c r="AM67" s="68">
        <v>0</v>
      </c>
    </row>
    <row r="68" spans="1:39" x14ac:dyDescent="0.2">
      <c r="A68" s="57" t="s">
        <v>2082</v>
      </c>
      <c r="B68" s="47">
        <v>46173</v>
      </c>
      <c r="C68" s="48"/>
      <c r="D68" s="48" t="s">
        <v>1275</v>
      </c>
      <c r="E68" s="49" t="s">
        <v>168</v>
      </c>
      <c r="F68" s="49" t="s">
        <v>169</v>
      </c>
      <c r="G68" s="47" t="e">
        <v>#N/A</v>
      </c>
      <c r="H68" s="47" t="s">
        <v>22</v>
      </c>
      <c r="I68" s="40" t="s">
        <v>159</v>
      </c>
      <c r="J68" s="40" t="s">
        <v>1661</v>
      </c>
      <c r="K68" s="40" t="s">
        <v>41</v>
      </c>
      <c r="L68" s="40" t="s">
        <v>32</v>
      </c>
      <c r="M68" s="11"/>
      <c r="N68" s="11"/>
      <c r="O68" s="50">
        <v>6.9119999999999999</v>
      </c>
      <c r="R68" s="9">
        <f>IFERROR(VLOOKUP(E68,Sheet6!$A$2:$B$500,2,FALSE),0)</f>
        <v>0</v>
      </c>
      <c r="S68" s="41">
        <f>IFERROR(VLOOKUP(E68,Sheet6!$C$2:$D$35017,2,FALSE),0)</f>
        <v>0</v>
      </c>
      <c r="U68" s="9">
        <f>IFERROR(VLOOKUP(E68,Sheet2!$AA$1:$AB$975,2,FALSE),0)</f>
        <v>13</v>
      </c>
      <c r="V68" s="41">
        <f>IFERROR(VLOOKUP(E68,Sheet2!$AC$1:$AD$975,2,FALSE),0)</f>
        <v>208</v>
      </c>
      <c r="W68" s="42">
        <f>IFERROR(VLOOKUP(E68,Sheet2!$AE$1:$AF$975,2,FALSE),0)</f>
        <v>56</v>
      </c>
      <c r="X68" s="43">
        <f>IFERROR(VLOOKUP(E68,Sheet2!$AG$1:$AH$975,2,FALSE),0)</f>
        <v>1</v>
      </c>
      <c r="Z68" s="60">
        <f>IFERROR(VLOOKUP(F68,Sheet2!$AA$1:$AB$975,2,FALSE),0)</f>
        <v>0</v>
      </c>
      <c r="AA68" s="64">
        <f>IFERROR(VLOOKUP(F68,Sheet2!$AC$1:$AD$975,2,FALSE),0)</f>
        <v>0</v>
      </c>
      <c r="AB68" s="65">
        <f>IFERROR(VLOOKUP(F68,Sheet2!$AE$2:$AF$6539,2,FALSE),0)</f>
        <v>0</v>
      </c>
      <c r="AC68" s="43">
        <f>IFERROR(VLOOKUP(F68,Sheet2!$AG$2:$AH$6539,2,FALSE),0)</f>
        <v>0</v>
      </c>
      <c r="AE68" s="112">
        <v>29</v>
      </c>
      <c r="AF68" s="9">
        <v>0</v>
      </c>
      <c r="AG68" s="9">
        <v>0</v>
      </c>
      <c r="AH68" s="9">
        <v>0</v>
      </c>
      <c r="AI68" s="9">
        <v>0</v>
      </c>
      <c r="AJ68" s="9">
        <f t="shared" ref="AJ68:AJ131" si="4">SUM(AE68+AI68)</f>
        <v>29</v>
      </c>
      <c r="AK68" s="45">
        <f t="shared" ref="AK68:AK131" si="5">SUM(AJ68*O68)</f>
        <v>200.44800000000001</v>
      </c>
      <c r="AL68" s="68">
        <v>0</v>
      </c>
      <c r="AM68" s="68">
        <v>0</v>
      </c>
    </row>
    <row r="69" spans="1:39" x14ac:dyDescent="0.2">
      <c r="A69" s="57" t="s">
        <v>2082</v>
      </c>
      <c r="B69" s="47">
        <v>46173</v>
      </c>
      <c r="C69" s="48"/>
      <c r="D69" s="48" t="s">
        <v>1276</v>
      </c>
      <c r="E69" s="49" t="s">
        <v>170</v>
      </c>
      <c r="F69" s="49" t="s">
        <v>171</v>
      </c>
      <c r="G69" s="47" t="e">
        <v>#N/A</v>
      </c>
      <c r="H69" s="47" t="s">
        <v>22</v>
      </c>
      <c r="I69" s="40" t="s">
        <v>159</v>
      </c>
      <c r="J69" s="40" t="s">
        <v>1661</v>
      </c>
      <c r="K69" s="40" t="s">
        <v>41</v>
      </c>
      <c r="L69" s="40" t="s">
        <v>35</v>
      </c>
      <c r="M69" s="11"/>
      <c r="N69" s="11"/>
      <c r="O69" s="50">
        <v>6.9119999999999999</v>
      </c>
      <c r="R69" s="9">
        <f>IFERROR(VLOOKUP(E69,Sheet6!$A$2:$B$500,2,FALSE),0)</f>
        <v>0</v>
      </c>
      <c r="S69" s="41">
        <f>IFERROR(VLOOKUP(E69,Sheet6!$C$2:$D$35017,2,FALSE),0)</f>
        <v>0</v>
      </c>
      <c r="U69" s="9">
        <f>IFERROR(VLOOKUP(E69,Sheet2!$AA$1:$AB$975,2,FALSE),0)</f>
        <v>0</v>
      </c>
      <c r="V69" s="41">
        <f>IFERROR(VLOOKUP(E69,Sheet2!$AC$1:$AD$975,2,FALSE),0)</f>
        <v>0</v>
      </c>
      <c r="W69" s="42">
        <f>IFERROR(VLOOKUP(E69,Sheet2!$AE$1:$AF$975,2,FALSE),0)</f>
        <v>0</v>
      </c>
      <c r="X69" s="43">
        <f>IFERROR(VLOOKUP(E69,Sheet2!$AG$1:$AH$975,2,FALSE),0)</f>
        <v>0</v>
      </c>
      <c r="Z69" s="60">
        <f>IFERROR(VLOOKUP(F69,Sheet2!$AA$1:$AB$975,2,FALSE),0)</f>
        <v>0</v>
      </c>
      <c r="AA69" s="64">
        <f>IFERROR(VLOOKUP(F69,Sheet2!$AC$1:$AD$975,2,FALSE),0)</f>
        <v>0</v>
      </c>
      <c r="AB69" s="65">
        <f>IFERROR(VLOOKUP(F69,Sheet2!$AE$2:$AF$6539,2,FALSE),0)</f>
        <v>0</v>
      </c>
      <c r="AC69" s="43">
        <f>IFERROR(VLOOKUP(F69,Sheet2!$AG$2:$AH$6539,2,FALSE),0)</f>
        <v>0</v>
      </c>
      <c r="AE69" s="112">
        <v>60</v>
      </c>
      <c r="AF69" s="9">
        <v>0</v>
      </c>
      <c r="AG69" s="9">
        <v>0</v>
      </c>
      <c r="AH69" s="9">
        <v>0</v>
      </c>
      <c r="AI69" s="9">
        <v>0</v>
      </c>
      <c r="AJ69" s="9">
        <f t="shared" si="4"/>
        <v>60</v>
      </c>
      <c r="AK69" s="45">
        <f t="shared" si="5"/>
        <v>414.71999999999997</v>
      </c>
      <c r="AL69" s="68">
        <v>0</v>
      </c>
      <c r="AM69" s="68">
        <v>0</v>
      </c>
    </row>
    <row r="70" spans="1:39" x14ac:dyDescent="0.2">
      <c r="A70" s="57" t="s">
        <v>2082</v>
      </c>
      <c r="B70" s="47">
        <v>46173</v>
      </c>
      <c r="C70" s="48"/>
      <c r="D70" s="48" t="s">
        <v>1277</v>
      </c>
      <c r="E70" s="49" t="s">
        <v>172</v>
      </c>
      <c r="F70" s="49" t="s">
        <v>173</v>
      </c>
      <c r="G70" s="47" t="e">
        <v>#N/A</v>
      </c>
      <c r="H70" s="47" t="s">
        <v>22</v>
      </c>
      <c r="I70" s="40" t="s">
        <v>174</v>
      </c>
      <c r="J70" s="40" t="s">
        <v>1664</v>
      </c>
      <c r="K70" s="40" t="s">
        <v>24</v>
      </c>
      <c r="L70" s="40" t="s">
        <v>29</v>
      </c>
      <c r="M70" s="11"/>
      <c r="N70" s="11"/>
      <c r="O70" s="50">
        <v>6.48</v>
      </c>
      <c r="R70" s="9">
        <f>IFERROR(VLOOKUP(E70,Sheet6!$A$2:$B$500,2,FALSE),0)</f>
        <v>0</v>
      </c>
      <c r="S70" s="41">
        <f>IFERROR(VLOOKUP(E70,Sheet6!$C$2:$D$35017,2,FALSE),0)</f>
        <v>0</v>
      </c>
      <c r="U70" s="9">
        <f>IFERROR(VLOOKUP(E70,Sheet2!$AA$1:$AB$975,2,FALSE),0)</f>
        <v>3</v>
      </c>
      <c r="V70" s="41">
        <f>IFERROR(VLOOKUP(E70,Sheet2!$AC$1:$AD$975,2,FALSE),0)</f>
        <v>45</v>
      </c>
      <c r="W70" s="42">
        <f>IFERROR(VLOOKUP(E70,Sheet2!$AE$1:$AF$975,2,FALSE),0)</f>
        <v>30</v>
      </c>
      <c r="X70" s="43">
        <f>IFERROR(VLOOKUP(E70,Sheet2!$AG$1:$AH$975,2,FALSE),0)</f>
        <v>1</v>
      </c>
      <c r="Z70" s="60">
        <f>IFERROR(VLOOKUP(F70,Sheet2!$AA$1:$AB$975,2,FALSE),0)</f>
        <v>0</v>
      </c>
      <c r="AA70" s="64">
        <f>IFERROR(VLOOKUP(F70,Sheet2!$AC$1:$AD$975,2,FALSE),0)</f>
        <v>0</v>
      </c>
      <c r="AB70" s="65">
        <f>IFERROR(VLOOKUP(F70,Sheet2!$AE$2:$AF$6539,2,FALSE),0)</f>
        <v>0</v>
      </c>
      <c r="AC70" s="43">
        <f>IFERROR(VLOOKUP(F70,Sheet2!$AG$2:$AH$6539,2,FALSE),0)</f>
        <v>0</v>
      </c>
      <c r="AE70" s="112">
        <v>50</v>
      </c>
      <c r="AF70" s="9">
        <v>0</v>
      </c>
      <c r="AG70" s="9">
        <v>0</v>
      </c>
      <c r="AH70" s="9">
        <v>0</v>
      </c>
      <c r="AI70" s="9">
        <v>0</v>
      </c>
      <c r="AJ70" s="9">
        <f t="shared" si="4"/>
        <v>50</v>
      </c>
      <c r="AK70" s="45">
        <f t="shared" si="5"/>
        <v>324</v>
      </c>
      <c r="AL70" s="68">
        <v>0</v>
      </c>
      <c r="AM70" s="68">
        <v>0</v>
      </c>
    </row>
    <row r="71" spans="1:39" x14ac:dyDescent="0.2">
      <c r="A71" s="57" t="s">
        <v>2082</v>
      </c>
      <c r="B71" s="47">
        <v>46173</v>
      </c>
      <c r="C71" s="48"/>
      <c r="D71" s="48" t="s">
        <v>1278</v>
      </c>
      <c r="E71" s="49" t="s">
        <v>175</v>
      </c>
      <c r="F71" s="49" t="s">
        <v>176</v>
      </c>
      <c r="G71" s="47" t="e">
        <v>#N/A</v>
      </c>
      <c r="H71" s="47" t="s">
        <v>22</v>
      </c>
      <c r="I71" s="40" t="s">
        <v>174</v>
      </c>
      <c r="J71" s="40" t="s">
        <v>1664</v>
      </c>
      <c r="K71" s="40" t="s">
        <v>24</v>
      </c>
      <c r="L71" s="40" t="s">
        <v>32</v>
      </c>
      <c r="M71" s="11"/>
      <c r="N71" s="11"/>
      <c r="O71" s="50">
        <v>6.48</v>
      </c>
      <c r="R71" s="9">
        <f>IFERROR(VLOOKUP(E71,Sheet6!$A$2:$B$500,2,FALSE),0)</f>
        <v>3</v>
      </c>
      <c r="S71" s="41">
        <f>IFERROR(VLOOKUP(E71,Sheet6!$C$2:$D$35017,2,FALSE),0)</f>
        <v>45</v>
      </c>
      <c r="U71" s="9">
        <f>IFERROR(VLOOKUP(E71,Sheet2!$AA$1:$AB$975,2,FALSE),0)</f>
        <v>0</v>
      </c>
      <c r="V71" s="41">
        <f>IFERROR(VLOOKUP(E71,Sheet2!$AC$1:$AD$975,2,FALSE),0)</f>
        <v>0</v>
      </c>
      <c r="W71" s="42">
        <f>IFERROR(VLOOKUP(E71,Sheet2!$AE$1:$AF$975,2,FALSE),0)</f>
        <v>0</v>
      </c>
      <c r="X71" s="43">
        <f>IFERROR(VLOOKUP(E71,Sheet2!$AG$1:$AH$975,2,FALSE),0)</f>
        <v>0</v>
      </c>
      <c r="Z71" s="60">
        <f>IFERROR(VLOOKUP(F71,Sheet2!$AA$1:$AB$975,2,FALSE),0)</f>
        <v>0</v>
      </c>
      <c r="AA71" s="64">
        <f>IFERROR(VLOOKUP(F71,Sheet2!$AC$1:$AD$975,2,FALSE),0)</f>
        <v>0</v>
      </c>
      <c r="AB71" s="65">
        <f>IFERROR(VLOOKUP(F71,Sheet2!$AE$2:$AF$6539,2,FALSE),0)</f>
        <v>0</v>
      </c>
      <c r="AC71" s="43">
        <f>IFERROR(VLOOKUP(F71,Sheet2!$AG$2:$AH$6539,2,FALSE),0)</f>
        <v>0</v>
      </c>
      <c r="AE71" s="112">
        <v>46</v>
      </c>
      <c r="AF71" s="9">
        <v>0</v>
      </c>
      <c r="AG71" s="9">
        <v>0</v>
      </c>
      <c r="AH71" s="9">
        <v>0</v>
      </c>
      <c r="AI71" s="9">
        <v>0</v>
      </c>
      <c r="AJ71" s="9">
        <f t="shared" si="4"/>
        <v>46</v>
      </c>
      <c r="AK71" s="45">
        <f t="shared" si="5"/>
        <v>298.08000000000004</v>
      </c>
      <c r="AL71" s="68">
        <v>0</v>
      </c>
      <c r="AM71" s="68">
        <v>6</v>
      </c>
    </row>
    <row r="72" spans="1:39" x14ac:dyDescent="0.2">
      <c r="A72" s="57" t="s">
        <v>2082</v>
      </c>
      <c r="B72" s="47">
        <v>46173</v>
      </c>
      <c r="C72" s="48"/>
      <c r="D72" s="48" t="s">
        <v>1279</v>
      </c>
      <c r="E72" s="49" t="s">
        <v>177</v>
      </c>
      <c r="F72" s="49" t="s">
        <v>178</v>
      </c>
      <c r="G72" s="47" t="e">
        <v>#N/A</v>
      </c>
      <c r="H72" s="47" t="s">
        <v>22</v>
      </c>
      <c r="I72" s="40" t="s">
        <v>174</v>
      </c>
      <c r="J72" s="40" t="s">
        <v>1664</v>
      </c>
      <c r="K72" s="40" t="s">
        <v>24</v>
      </c>
      <c r="L72" s="40" t="s">
        <v>35</v>
      </c>
      <c r="M72" s="11"/>
      <c r="N72" s="11"/>
      <c r="O72" s="50">
        <v>6.48</v>
      </c>
      <c r="R72" s="9">
        <f>IFERROR(VLOOKUP(E72,Sheet6!$A$2:$B$500,2,FALSE),0)</f>
        <v>6</v>
      </c>
      <c r="S72" s="41">
        <f>IFERROR(VLOOKUP(E72,Sheet6!$C$2:$D$35017,2,FALSE),0)</f>
        <v>90</v>
      </c>
      <c r="U72" s="9">
        <f>IFERROR(VLOOKUP(E72,Sheet2!$AA$1:$AB$975,2,FALSE),0)</f>
        <v>0</v>
      </c>
      <c r="V72" s="41">
        <f>IFERROR(VLOOKUP(E72,Sheet2!$AC$1:$AD$975,2,FALSE),0)</f>
        <v>0</v>
      </c>
      <c r="W72" s="42">
        <f>IFERROR(VLOOKUP(E72,Sheet2!$AE$1:$AF$975,2,FALSE),0)</f>
        <v>0</v>
      </c>
      <c r="X72" s="43">
        <f>IFERROR(VLOOKUP(E72,Sheet2!$AG$1:$AH$975,2,FALSE),0)</f>
        <v>0</v>
      </c>
      <c r="Z72" s="60">
        <f>IFERROR(VLOOKUP(F72,Sheet2!$AA$1:$AB$975,2,FALSE),0)</f>
        <v>0</v>
      </c>
      <c r="AA72" s="64">
        <f>IFERROR(VLOOKUP(F72,Sheet2!$AC$1:$AD$975,2,FALSE),0)</f>
        <v>0</v>
      </c>
      <c r="AB72" s="65">
        <f>IFERROR(VLOOKUP(F72,Sheet2!$AE$2:$AF$6539,2,FALSE),0)</f>
        <v>0</v>
      </c>
      <c r="AC72" s="43">
        <f>IFERROR(VLOOKUP(F72,Sheet2!$AG$2:$AH$6539,2,FALSE),0)</f>
        <v>0</v>
      </c>
      <c r="AE72" s="112">
        <v>164</v>
      </c>
      <c r="AF72" s="9">
        <v>0</v>
      </c>
      <c r="AG72" s="9">
        <v>0</v>
      </c>
      <c r="AH72" s="9">
        <v>0</v>
      </c>
      <c r="AI72" s="9">
        <v>0</v>
      </c>
      <c r="AJ72" s="9">
        <f t="shared" si="4"/>
        <v>164</v>
      </c>
      <c r="AK72" s="45">
        <f t="shared" si="5"/>
        <v>1062.72</v>
      </c>
      <c r="AL72" s="68">
        <v>0</v>
      </c>
      <c r="AM72" s="68">
        <v>0</v>
      </c>
    </row>
    <row r="73" spans="1:39" x14ac:dyDescent="0.2">
      <c r="A73" s="57" t="s">
        <v>2082</v>
      </c>
      <c r="B73" s="47">
        <v>46173</v>
      </c>
      <c r="C73" s="48"/>
      <c r="D73" s="48" t="s">
        <v>1280</v>
      </c>
      <c r="E73" s="49" t="s">
        <v>179</v>
      </c>
      <c r="F73" s="49" t="s">
        <v>180</v>
      </c>
      <c r="G73" s="47" t="e">
        <v>#N/A</v>
      </c>
      <c r="H73" s="47" t="s">
        <v>22</v>
      </c>
      <c r="I73" s="9" t="s">
        <v>174</v>
      </c>
      <c r="J73" s="40" t="s">
        <v>1664</v>
      </c>
      <c r="K73" s="40" t="s">
        <v>24</v>
      </c>
      <c r="L73" s="9" t="s">
        <v>38</v>
      </c>
      <c r="M73" s="11"/>
      <c r="N73" s="11"/>
      <c r="O73" s="50">
        <v>6.48</v>
      </c>
      <c r="R73" s="9">
        <f>IFERROR(VLOOKUP(E73,Sheet6!$A$2:$B$500,2,FALSE),0)</f>
        <v>12</v>
      </c>
      <c r="S73" s="41">
        <f>IFERROR(VLOOKUP(E73,Sheet6!$C$2:$D$35017,2,FALSE),0)</f>
        <v>180</v>
      </c>
      <c r="U73" s="9">
        <f>IFERROR(VLOOKUP(E73,Sheet2!$AA$1:$AB$975,2,FALSE),0)</f>
        <v>0</v>
      </c>
      <c r="V73" s="41">
        <f>IFERROR(VLOOKUP(E73,Sheet2!$AC$1:$AD$975,2,FALSE),0)</f>
        <v>0</v>
      </c>
      <c r="W73" s="42">
        <f>IFERROR(VLOOKUP(E73,Sheet2!$AE$1:$AF$975,2,FALSE),0)</f>
        <v>0</v>
      </c>
      <c r="X73" s="43">
        <f>IFERROR(VLOOKUP(E73,Sheet2!$AG$1:$AH$975,2,FALSE),0)</f>
        <v>0</v>
      </c>
      <c r="Z73" s="60">
        <f>IFERROR(VLOOKUP(F73,Sheet2!$AA$1:$AB$975,2,FALSE),0)</f>
        <v>0</v>
      </c>
      <c r="AA73" s="64">
        <f>IFERROR(VLOOKUP(F73,Sheet2!$AC$1:$AD$975,2,FALSE),0)</f>
        <v>0</v>
      </c>
      <c r="AB73" s="65">
        <f>IFERROR(VLOOKUP(F73,Sheet2!$AE$2:$AF$6539,2,FALSE),0)</f>
        <v>0</v>
      </c>
      <c r="AC73" s="43">
        <f>IFERROR(VLOOKUP(F73,Sheet2!$AG$2:$AH$6539,2,FALSE),0)</f>
        <v>0</v>
      </c>
      <c r="AE73" s="112">
        <v>0</v>
      </c>
      <c r="AF73" s="9">
        <v>0</v>
      </c>
      <c r="AG73" s="9">
        <v>0</v>
      </c>
      <c r="AH73" s="9">
        <v>0</v>
      </c>
      <c r="AI73" s="9">
        <v>0</v>
      </c>
      <c r="AJ73" s="9">
        <f t="shared" si="4"/>
        <v>0</v>
      </c>
      <c r="AK73" s="45">
        <f t="shared" si="5"/>
        <v>0</v>
      </c>
      <c r="AL73" s="68">
        <v>0</v>
      </c>
      <c r="AM73" s="68">
        <v>6</v>
      </c>
    </row>
    <row r="74" spans="1:39" x14ac:dyDescent="0.2">
      <c r="A74" s="57" t="s">
        <v>2082</v>
      </c>
      <c r="B74" s="47">
        <v>46173</v>
      </c>
      <c r="C74" s="48"/>
      <c r="D74" s="48" t="s">
        <v>1281</v>
      </c>
      <c r="E74" s="49" t="s">
        <v>181</v>
      </c>
      <c r="F74" s="49" t="s">
        <v>182</v>
      </c>
      <c r="G74" s="47" t="e">
        <v>#N/A</v>
      </c>
      <c r="H74" s="47" t="s">
        <v>22</v>
      </c>
      <c r="I74" s="40" t="s">
        <v>174</v>
      </c>
      <c r="J74" s="40" t="s">
        <v>1664</v>
      </c>
      <c r="K74" s="40" t="s">
        <v>41</v>
      </c>
      <c r="L74" s="40" t="s">
        <v>29</v>
      </c>
      <c r="M74" s="11"/>
      <c r="N74" s="11"/>
      <c r="O74" s="50">
        <v>6.48</v>
      </c>
      <c r="R74" s="9">
        <f>IFERROR(VLOOKUP(E74,Sheet6!$A$2:$B$500,2,FALSE),0)</f>
        <v>0</v>
      </c>
      <c r="S74" s="41">
        <f>IFERROR(VLOOKUP(E74,Sheet6!$C$2:$D$35017,2,FALSE),0)</f>
        <v>0</v>
      </c>
      <c r="U74" s="9">
        <f>IFERROR(VLOOKUP(E74,Sheet2!$AA$1:$AB$975,2,FALSE),0)</f>
        <v>0</v>
      </c>
      <c r="V74" s="41">
        <f>IFERROR(VLOOKUP(E74,Sheet2!$AC$1:$AD$975,2,FALSE),0)</f>
        <v>0</v>
      </c>
      <c r="W74" s="42">
        <f>IFERROR(VLOOKUP(E74,Sheet2!$AE$1:$AF$975,2,FALSE),0)</f>
        <v>0</v>
      </c>
      <c r="X74" s="43">
        <f>IFERROR(VLOOKUP(E74,Sheet2!$AG$1:$AH$975,2,FALSE),0)</f>
        <v>0</v>
      </c>
      <c r="Z74" s="60">
        <f>IFERROR(VLOOKUP(F74,Sheet2!$AA$1:$AB$975,2,FALSE),0)</f>
        <v>0</v>
      </c>
      <c r="AA74" s="64">
        <f>IFERROR(VLOOKUP(F74,Sheet2!$AC$1:$AD$975,2,FALSE),0)</f>
        <v>0</v>
      </c>
      <c r="AB74" s="65">
        <f>IFERROR(VLOOKUP(F74,Sheet2!$AE$2:$AF$6539,2,FALSE),0)</f>
        <v>0</v>
      </c>
      <c r="AC74" s="43">
        <f>IFERROR(VLOOKUP(F74,Sheet2!$AG$2:$AH$6539,2,FALSE),0)</f>
        <v>0</v>
      </c>
      <c r="AE74" s="112">
        <v>46</v>
      </c>
      <c r="AF74" s="9">
        <v>0</v>
      </c>
      <c r="AG74" s="9">
        <v>0</v>
      </c>
      <c r="AH74" s="9">
        <v>0</v>
      </c>
      <c r="AI74" s="9">
        <v>0</v>
      </c>
      <c r="AJ74" s="9">
        <f t="shared" si="4"/>
        <v>46</v>
      </c>
      <c r="AK74" s="45">
        <f t="shared" si="5"/>
        <v>298.08000000000004</v>
      </c>
      <c r="AL74" s="68">
        <v>0</v>
      </c>
      <c r="AM74" s="68">
        <v>0</v>
      </c>
    </row>
    <row r="75" spans="1:39" x14ac:dyDescent="0.2">
      <c r="A75" s="57" t="s">
        <v>2082</v>
      </c>
      <c r="B75" s="47">
        <v>46173</v>
      </c>
      <c r="C75" s="48"/>
      <c r="D75" s="48" t="s">
        <v>1282</v>
      </c>
      <c r="E75" s="49" t="s">
        <v>183</v>
      </c>
      <c r="F75" s="49" t="s">
        <v>184</v>
      </c>
      <c r="G75" s="47" t="e">
        <v>#N/A</v>
      </c>
      <c r="H75" s="47" t="s">
        <v>22</v>
      </c>
      <c r="I75" s="40" t="s">
        <v>174</v>
      </c>
      <c r="J75" s="40" t="s">
        <v>1664</v>
      </c>
      <c r="K75" s="40" t="s">
        <v>41</v>
      </c>
      <c r="L75" s="40" t="s">
        <v>32</v>
      </c>
      <c r="M75" s="11"/>
      <c r="N75" s="11"/>
      <c r="O75" s="50">
        <v>6.48</v>
      </c>
      <c r="R75" s="9">
        <f>IFERROR(VLOOKUP(E75,Sheet6!$A$2:$B$500,2,FALSE),0)</f>
        <v>2</v>
      </c>
      <c r="S75" s="41">
        <f>IFERROR(VLOOKUP(E75,Sheet6!$C$2:$D$35017,2,FALSE),0)</f>
        <v>27.01</v>
      </c>
      <c r="U75" s="9">
        <f>IFERROR(VLOOKUP(E75,Sheet2!$AA$1:$AB$975,2,FALSE),0)</f>
        <v>6</v>
      </c>
      <c r="V75" s="41">
        <f>IFERROR(VLOOKUP(E75,Sheet2!$AC$1:$AD$975,2,FALSE),0)</f>
        <v>90</v>
      </c>
      <c r="W75" s="42">
        <f>IFERROR(VLOOKUP(E75,Sheet2!$AE$1:$AF$975,2,FALSE),0)</f>
        <v>34</v>
      </c>
      <c r="X75" s="43">
        <f>IFERROR(VLOOKUP(E75,Sheet2!$AG$1:$AH$975,2,FALSE),0)</f>
        <v>0.97829999999999995</v>
      </c>
      <c r="Z75" s="60">
        <f>IFERROR(VLOOKUP(F75,Sheet2!$AA$1:$AB$975,2,FALSE),0)</f>
        <v>0</v>
      </c>
      <c r="AA75" s="64">
        <f>IFERROR(VLOOKUP(F75,Sheet2!$AC$1:$AD$975,2,FALSE),0)</f>
        <v>0</v>
      </c>
      <c r="AB75" s="65">
        <f>IFERROR(VLOOKUP(F75,Sheet2!$AE$2:$AF$6539,2,FALSE),0)</f>
        <v>0</v>
      </c>
      <c r="AC75" s="43">
        <f>IFERROR(VLOOKUP(F75,Sheet2!$AG$2:$AH$6539,2,FALSE),0)</f>
        <v>0</v>
      </c>
      <c r="AE75" s="112">
        <v>87</v>
      </c>
      <c r="AF75" s="9">
        <v>0</v>
      </c>
      <c r="AG75" s="9">
        <v>0</v>
      </c>
      <c r="AH75" s="9">
        <v>0</v>
      </c>
      <c r="AI75" s="9">
        <v>0</v>
      </c>
      <c r="AJ75" s="9">
        <f t="shared" si="4"/>
        <v>87</v>
      </c>
      <c r="AK75" s="45">
        <f t="shared" si="5"/>
        <v>563.76</v>
      </c>
      <c r="AL75" s="68">
        <v>0</v>
      </c>
      <c r="AM75" s="68">
        <v>0</v>
      </c>
    </row>
    <row r="76" spans="1:39" x14ac:dyDescent="0.2">
      <c r="A76" s="57" t="s">
        <v>2082</v>
      </c>
      <c r="B76" s="47">
        <v>46173</v>
      </c>
      <c r="C76" s="48"/>
      <c r="D76" s="48" t="s">
        <v>1283</v>
      </c>
      <c r="E76" s="49" t="s">
        <v>185</v>
      </c>
      <c r="F76" s="49" t="s">
        <v>186</v>
      </c>
      <c r="G76" s="47" t="s">
        <v>968</v>
      </c>
      <c r="H76" s="47" t="s">
        <v>94</v>
      </c>
      <c r="I76" s="9" t="s">
        <v>174</v>
      </c>
      <c r="J76" s="40" t="s">
        <v>1664</v>
      </c>
      <c r="K76" s="40" t="s">
        <v>41</v>
      </c>
      <c r="L76" s="40" t="s">
        <v>35</v>
      </c>
      <c r="M76" s="11"/>
      <c r="N76" s="11"/>
      <c r="O76" s="50">
        <v>6.48</v>
      </c>
      <c r="R76" s="9">
        <f>IFERROR(VLOOKUP(E76,Sheet6!$A$2:$B$500,2,FALSE),0)</f>
        <v>6</v>
      </c>
      <c r="S76" s="41">
        <f>IFERROR(VLOOKUP(E76,Sheet6!$C$2:$D$35017,2,FALSE),0)</f>
        <v>90</v>
      </c>
      <c r="U76" s="9">
        <f>IFERROR(VLOOKUP(E76,Sheet2!$AA$1:$AB$975,2,FALSE),0)</f>
        <v>23</v>
      </c>
      <c r="V76" s="41">
        <f>IFERROR(VLOOKUP(E76,Sheet2!$AC$1:$AD$975,2,FALSE),0)</f>
        <v>345</v>
      </c>
      <c r="W76" s="42">
        <f>IFERROR(VLOOKUP(E76,Sheet2!$AE$1:$AF$975,2,FALSE),0)</f>
        <v>50</v>
      </c>
      <c r="X76" s="43">
        <f>IFERROR(VLOOKUP(E76,Sheet2!$AG$1:$AH$975,2,FALSE),0)</f>
        <v>0.98480000000000001</v>
      </c>
      <c r="Z76" s="60">
        <f>IFERROR(VLOOKUP(F76,Sheet2!$AA$1:$AB$975,2,FALSE),0)</f>
        <v>0</v>
      </c>
      <c r="AA76" s="64">
        <f>IFERROR(VLOOKUP(F76,Sheet2!$AC$1:$AD$975,2,FALSE),0)</f>
        <v>0</v>
      </c>
      <c r="AB76" s="65">
        <f>IFERROR(VLOOKUP(F76,Sheet2!$AE$2:$AF$6539,2,FALSE),0)</f>
        <v>0</v>
      </c>
      <c r="AC76" s="43">
        <f>IFERROR(VLOOKUP(F76,Sheet2!$AG$2:$AH$6539,2,FALSE),0)</f>
        <v>0</v>
      </c>
      <c r="AE76" s="112">
        <v>106</v>
      </c>
      <c r="AF76" s="9">
        <v>0</v>
      </c>
      <c r="AG76" s="9">
        <v>0</v>
      </c>
      <c r="AH76" s="9">
        <v>0</v>
      </c>
      <c r="AI76" s="9">
        <v>0</v>
      </c>
      <c r="AJ76" s="9">
        <f t="shared" si="4"/>
        <v>106</v>
      </c>
      <c r="AK76" s="45">
        <f t="shared" si="5"/>
        <v>686.88</v>
      </c>
      <c r="AL76" s="68">
        <v>0</v>
      </c>
      <c r="AM76" s="68">
        <v>0</v>
      </c>
    </row>
    <row r="77" spans="1:39" x14ac:dyDescent="0.2">
      <c r="A77" s="57" t="s">
        <v>2082</v>
      </c>
      <c r="B77" s="47">
        <v>46173</v>
      </c>
      <c r="C77" s="108"/>
      <c r="D77" s="48" t="s">
        <v>1284</v>
      </c>
      <c r="E77" s="49" t="s">
        <v>1002</v>
      </c>
      <c r="F77" s="49" t="s">
        <v>1062</v>
      </c>
      <c r="G77" s="47" t="e">
        <v>#N/A</v>
      </c>
      <c r="H77" s="47" t="s">
        <v>94</v>
      </c>
      <c r="I77" s="9" t="s">
        <v>1091</v>
      </c>
      <c r="J77" s="40" t="s">
        <v>1850</v>
      </c>
      <c r="K77" s="9" t="s">
        <v>187</v>
      </c>
      <c r="L77" s="9" t="s">
        <v>188</v>
      </c>
      <c r="M77" s="11"/>
      <c r="N77" s="11"/>
      <c r="O77" s="50">
        <v>11.232000000000001</v>
      </c>
      <c r="R77" s="9">
        <f>IFERROR(VLOOKUP(E77,Sheet6!$A$2:$B$500,2,FALSE),0)</f>
        <v>0</v>
      </c>
      <c r="S77" s="41">
        <f>IFERROR(VLOOKUP(E77,Sheet6!$C$2:$D$35017,2,FALSE),0)</f>
        <v>0</v>
      </c>
      <c r="U77" s="9">
        <f>IFERROR(VLOOKUP(E77,Sheet2!$AA$1:$AB$975,2,FALSE),0)</f>
        <v>0</v>
      </c>
      <c r="V77" s="41">
        <f>IFERROR(VLOOKUP(E77,Sheet2!$AC$1:$AD$975,2,FALSE),0)</f>
        <v>0</v>
      </c>
      <c r="W77" s="42">
        <f>IFERROR(VLOOKUP(E77,Sheet2!$AE$1:$AF$975,2,FALSE),0)</f>
        <v>0</v>
      </c>
      <c r="X77" s="43">
        <f>IFERROR(VLOOKUP(E77,Sheet2!$AG$1:$AH$975,2,FALSE),0)</f>
        <v>0</v>
      </c>
      <c r="Z77" s="60">
        <f>IFERROR(VLOOKUP(F77,Sheet2!$AA$1:$AB$975,2,FALSE),0)</f>
        <v>0</v>
      </c>
      <c r="AA77" s="64">
        <f>IFERROR(VLOOKUP(F77,Sheet2!$AC$1:$AD$975,2,FALSE),0)</f>
        <v>0</v>
      </c>
      <c r="AB77" s="65">
        <f>IFERROR(VLOOKUP(F77,Sheet2!$AE$2:$AF$6539,2,FALSE),0)</f>
        <v>0</v>
      </c>
      <c r="AC77" s="43">
        <f>IFERROR(VLOOKUP(F77,Sheet2!$AG$2:$AH$6539,2,FALSE),0)</f>
        <v>0</v>
      </c>
      <c r="AE77" s="112">
        <v>3</v>
      </c>
      <c r="AF77" s="9">
        <v>6</v>
      </c>
      <c r="AG77" s="9">
        <v>0</v>
      </c>
      <c r="AH77" s="9">
        <v>0</v>
      </c>
      <c r="AI77" s="9">
        <v>6</v>
      </c>
      <c r="AJ77" s="9">
        <f t="shared" si="4"/>
        <v>9</v>
      </c>
      <c r="AK77" s="45">
        <f t="shared" si="5"/>
        <v>101.08800000000001</v>
      </c>
      <c r="AL77" s="68">
        <v>0</v>
      </c>
      <c r="AM77" s="68">
        <v>0</v>
      </c>
    </row>
    <row r="78" spans="1:39" x14ac:dyDescent="0.2">
      <c r="A78" s="57" t="s">
        <v>2082</v>
      </c>
      <c r="B78" s="47">
        <v>46173</v>
      </c>
      <c r="C78" s="48"/>
      <c r="D78" s="48" t="s">
        <v>1285</v>
      </c>
      <c r="E78" s="49" t="s">
        <v>1003</v>
      </c>
      <c r="F78" s="49" t="s">
        <v>1063</v>
      </c>
      <c r="G78" s="47" t="e">
        <v>#N/A</v>
      </c>
      <c r="H78" s="47" t="s">
        <v>94</v>
      </c>
      <c r="I78" s="9" t="s">
        <v>1091</v>
      </c>
      <c r="J78" s="40" t="s">
        <v>1850</v>
      </c>
      <c r="K78" s="9" t="s">
        <v>187</v>
      </c>
      <c r="L78" s="9" t="s">
        <v>29</v>
      </c>
      <c r="M78" s="11"/>
      <c r="N78" s="11"/>
      <c r="O78" s="50">
        <v>11.232000000000001</v>
      </c>
      <c r="R78" s="9">
        <f>IFERROR(VLOOKUP(E78,Sheet6!$A$2:$B$500,2,FALSE),0)</f>
        <v>0</v>
      </c>
      <c r="S78" s="41">
        <f>IFERROR(VLOOKUP(E78,Sheet6!$C$2:$D$35017,2,FALSE),0)</f>
        <v>0</v>
      </c>
      <c r="U78" s="9">
        <f>IFERROR(VLOOKUP(E78,Sheet2!$AA$1:$AB$975,2,FALSE),0)</f>
        <v>0</v>
      </c>
      <c r="V78" s="41">
        <f>IFERROR(VLOOKUP(E78,Sheet2!$AC$1:$AD$975,2,FALSE),0)</f>
        <v>0</v>
      </c>
      <c r="W78" s="42">
        <f>IFERROR(VLOOKUP(E78,Sheet2!$AE$1:$AF$975,2,FALSE),0)</f>
        <v>0</v>
      </c>
      <c r="X78" s="43">
        <f>IFERROR(VLOOKUP(E78,Sheet2!$AG$1:$AH$975,2,FALSE),0)</f>
        <v>0</v>
      </c>
      <c r="Z78" s="60">
        <f>IFERROR(VLOOKUP(F78,Sheet2!$AA$1:$AB$975,2,FALSE),0)</f>
        <v>0</v>
      </c>
      <c r="AA78" s="64">
        <f>IFERROR(VLOOKUP(F78,Sheet2!$AC$1:$AD$975,2,FALSE),0)</f>
        <v>0</v>
      </c>
      <c r="AB78" s="65">
        <f>IFERROR(VLOOKUP(F78,Sheet2!$AE$2:$AF$6539,2,FALSE),0)</f>
        <v>0</v>
      </c>
      <c r="AC78" s="43">
        <f>IFERROR(VLOOKUP(F78,Sheet2!$AG$2:$AH$6539,2,FALSE),0)</f>
        <v>0</v>
      </c>
      <c r="AE78" s="112">
        <v>12</v>
      </c>
      <c r="AF78" s="9">
        <v>2</v>
      </c>
      <c r="AG78" s="9">
        <v>0</v>
      </c>
      <c r="AH78" s="9">
        <v>0</v>
      </c>
      <c r="AI78" s="9">
        <v>2</v>
      </c>
      <c r="AJ78" s="9">
        <f t="shared" si="4"/>
        <v>14</v>
      </c>
      <c r="AK78" s="45">
        <f t="shared" si="5"/>
        <v>157.24800000000002</v>
      </c>
      <c r="AL78" s="68">
        <v>0</v>
      </c>
      <c r="AM78" s="68">
        <v>0</v>
      </c>
    </row>
    <row r="79" spans="1:39" x14ac:dyDescent="0.2">
      <c r="A79" s="57" t="s">
        <v>2082</v>
      </c>
      <c r="B79" s="47">
        <v>46173</v>
      </c>
      <c r="C79" s="48"/>
      <c r="D79" s="48" t="s">
        <v>1286</v>
      </c>
      <c r="E79" s="49" t="s">
        <v>1004</v>
      </c>
      <c r="F79" s="49" t="s">
        <v>1064</v>
      </c>
      <c r="G79" s="47" t="e">
        <v>#N/A</v>
      </c>
      <c r="H79" s="47" t="s">
        <v>94</v>
      </c>
      <c r="I79" s="9" t="s">
        <v>1091</v>
      </c>
      <c r="J79" s="40" t="s">
        <v>1850</v>
      </c>
      <c r="K79" s="9" t="s">
        <v>187</v>
      </c>
      <c r="L79" s="9" t="s">
        <v>32</v>
      </c>
      <c r="M79" s="11"/>
      <c r="N79" s="11"/>
      <c r="O79" s="50">
        <v>11.232000000000001</v>
      </c>
      <c r="R79" s="9">
        <f>IFERROR(VLOOKUP(E79,Sheet6!$A$2:$B$500,2,FALSE),0)</f>
        <v>0</v>
      </c>
      <c r="S79" s="41">
        <f>IFERROR(VLOOKUP(E79,Sheet6!$C$2:$D$35017,2,FALSE),0)</f>
        <v>0</v>
      </c>
      <c r="U79" s="9">
        <f>IFERROR(VLOOKUP(E79,Sheet2!$AA$1:$AB$975,2,FALSE),0)</f>
        <v>0</v>
      </c>
      <c r="V79" s="41">
        <f>IFERROR(VLOOKUP(E79,Sheet2!$AC$1:$AD$975,2,FALSE),0)</f>
        <v>0</v>
      </c>
      <c r="W79" s="42">
        <f>IFERROR(VLOOKUP(E79,Sheet2!$AE$1:$AF$975,2,FALSE),0)</f>
        <v>0</v>
      </c>
      <c r="X79" s="43">
        <f>IFERROR(VLOOKUP(E79,Sheet2!$AG$1:$AH$975,2,FALSE),0)</f>
        <v>0</v>
      </c>
      <c r="Z79" s="60">
        <f>IFERROR(VLOOKUP(F79,Sheet2!$AA$1:$AB$975,2,FALSE),0)</f>
        <v>0</v>
      </c>
      <c r="AA79" s="64">
        <f>IFERROR(VLOOKUP(F79,Sheet2!$AC$1:$AD$975,2,FALSE),0)</f>
        <v>0</v>
      </c>
      <c r="AB79" s="65">
        <f>IFERROR(VLOOKUP(F79,Sheet2!$AE$2:$AF$6539,2,FALSE),0)</f>
        <v>0</v>
      </c>
      <c r="AC79" s="43">
        <f>IFERROR(VLOOKUP(F79,Sheet2!$AG$2:$AH$6539,2,FALSE),0)</f>
        <v>0</v>
      </c>
      <c r="AE79" s="112">
        <v>2</v>
      </c>
      <c r="AF79" s="9">
        <v>22</v>
      </c>
      <c r="AG79" s="9">
        <v>0</v>
      </c>
      <c r="AH79" s="9">
        <v>1</v>
      </c>
      <c r="AI79" s="9">
        <v>23</v>
      </c>
      <c r="AJ79" s="9">
        <f t="shared" si="4"/>
        <v>25</v>
      </c>
      <c r="AK79" s="45">
        <f t="shared" si="5"/>
        <v>280.8</v>
      </c>
      <c r="AL79" s="68">
        <v>0</v>
      </c>
      <c r="AM79" s="68">
        <v>0</v>
      </c>
    </row>
    <row r="80" spans="1:39" x14ac:dyDescent="0.2">
      <c r="A80" s="57" t="s">
        <v>2082</v>
      </c>
      <c r="B80" s="47">
        <v>46173</v>
      </c>
      <c r="C80" s="48"/>
      <c r="D80" s="48" t="s">
        <v>1287</v>
      </c>
      <c r="E80" s="49" t="s">
        <v>1005</v>
      </c>
      <c r="F80" s="49" t="s">
        <v>1065</v>
      </c>
      <c r="G80" s="47" t="e">
        <v>#N/A</v>
      </c>
      <c r="H80" s="47" t="s">
        <v>94</v>
      </c>
      <c r="I80" s="9" t="s">
        <v>1091</v>
      </c>
      <c r="J80" s="40" t="s">
        <v>1850</v>
      </c>
      <c r="K80" s="9" t="s">
        <v>187</v>
      </c>
      <c r="L80" s="9" t="s">
        <v>35</v>
      </c>
      <c r="M80" s="11"/>
      <c r="N80" s="11"/>
      <c r="O80" s="50">
        <v>11.232000000000001</v>
      </c>
      <c r="R80" s="9">
        <f>IFERROR(VLOOKUP(E80,Sheet6!$A$2:$B$500,2,FALSE),0)</f>
        <v>0</v>
      </c>
      <c r="S80" s="41">
        <f>IFERROR(VLOOKUP(E80,Sheet6!$C$2:$D$35017,2,FALSE),0)</f>
        <v>0</v>
      </c>
      <c r="U80" s="9">
        <f>IFERROR(VLOOKUP(E80,Sheet2!$AA$1:$AB$975,2,FALSE),0)</f>
        <v>0</v>
      </c>
      <c r="V80" s="41">
        <f>IFERROR(VLOOKUP(E80,Sheet2!$AC$1:$AD$975,2,FALSE),0)</f>
        <v>0</v>
      </c>
      <c r="W80" s="42">
        <f>IFERROR(VLOOKUP(E80,Sheet2!$AE$1:$AF$975,2,FALSE),0)</f>
        <v>0</v>
      </c>
      <c r="X80" s="43">
        <f>IFERROR(VLOOKUP(E80,Sheet2!$AG$1:$AH$975,2,FALSE),0)</f>
        <v>0</v>
      </c>
      <c r="Z80" s="60">
        <f>IFERROR(VLOOKUP(F80,Sheet2!$AA$1:$AB$975,2,FALSE),0)</f>
        <v>0</v>
      </c>
      <c r="AA80" s="64">
        <f>IFERROR(VLOOKUP(F80,Sheet2!$AC$1:$AD$975,2,FALSE),0)</f>
        <v>0</v>
      </c>
      <c r="AB80" s="65">
        <f>IFERROR(VLOOKUP(F80,Sheet2!$AE$2:$AF$6539,2,FALSE),0)</f>
        <v>0</v>
      </c>
      <c r="AC80" s="43">
        <f>IFERROR(VLOOKUP(F80,Sheet2!$AG$2:$AH$6539,2,FALSE),0)</f>
        <v>0</v>
      </c>
      <c r="AE80" s="112">
        <v>12</v>
      </c>
      <c r="AF80" s="9">
        <v>20</v>
      </c>
      <c r="AG80" s="9">
        <v>0</v>
      </c>
      <c r="AH80" s="9">
        <v>1</v>
      </c>
      <c r="AI80" s="9">
        <v>21</v>
      </c>
      <c r="AJ80" s="9">
        <f t="shared" si="4"/>
        <v>33</v>
      </c>
      <c r="AK80" s="45">
        <f t="shared" si="5"/>
        <v>370.65600000000006</v>
      </c>
      <c r="AL80" s="68">
        <v>0</v>
      </c>
      <c r="AM80" s="68">
        <v>0</v>
      </c>
    </row>
    <row r="81" spans="1:39" x14ac:dyDescent="0.2">
      <c r="A81" s="57" t="s">
        <v>2082</v>
      </c>
      <c r="B81" s="47">
        <v>46173</v>
      </c>
      <c r="C81" s="48"/>
      <c r="D81" s="48" t="s">
        <v>1288</v>
      </c>
      <c r="E81" s="49" t="s">
        <v>999</v>
      </c>
      <c r="F81" s="49" t="s">
        <v>1059</v>
      </c>
      <c r="G81" s="47" t="e">
        <v>#N/A</v>
      </c>
      <c r="H81" s="47" t="s">
        <v>94</v>
      </c>
      <c r="I81" s="9" t="s">
        <v>1092</v>
      </c>
      <c r="J81" s="40" t="s">
        <v>1839</v>
      </c>
      <c r="K81" s="9" t="s">
        <v>195</v>
      </c>
      <c r="L81" s="9" t="s">
        <v>29</v>
      </c>
      <c r="M81" s="11"/>
      <c r="N81" s="11"/>
      <c r="O81" s="50">
        <v>11.232000000000001</v>
      </c>
      <c r="R81" s="9">
        <f>IFERROR(VLOOKUP(E81,Sheet6!$A$2:$B$500,2,FALSE),0)</f>
        <v>0</v>
      </c>
      <c r="S81" s="41">
        <f>IFERROR(VLOOKUP(E81,Sheet6!$C$2:$D$35017,2,FALSE),0)</f>
        <v>0</v>
      </c>
      <c r="U81" s="9">
        <f>IFERROR(VLOOKUP(E81,Sheet2!$AA$1:$AB$975,2,FALSE),0)</f>
        <v>0</v>
      </c>
      <c r="V81" s="41">
        <f>IFERROR(VLOOKUP(E81,Sheet2!$AC$1:$AD$975,2,FALSE),0)</f>
        <v>0</v>
      </c>
      <c r="W81" s="42">
        <f>IFERROR(VLOOKUP(E81,Sheet2!$AE$1:$AF$975,2,FALSE),0)</f>
        <v>0</v>
      </c>
      <c r="X81" s="43">
        <f>IFERROR(VLOOKUP(E81,Sheet2!$AG$1:$AH$975,2,FALSE),0)</f>
        <v>0</v>
      </c>
      <c r="Z81" s="60">
        <f>IFERROR(VLOOKUP(F81,Sheet2!$AA$1:$AB$975,2,FALSE),0)</f>
        <v>0</v>
      </c>
      <c r="AA81" s="64">
        <f>IFERROR(VLOOKUP(F81,Sheet2!$AC$1:$AD$975,2,FALSE),0)</f>
        <v>0</v>
      </c>
      <c r="AB81" s="65">
        <f>IFERROR(VLOOKUP(F81,Sheet2!$AE$2:$AF$6539,2,FALSE),0)</f>
        <v>0</v>
      </c>
      <c r="AC81" s="43">
        <f>IFERROR(VLOOKUP(F81,Sheet2!$AG$2:$AH$6539,2,FALSE),0)</f>
        <v>0</v>
      </c>
      <c r="AE81" s="112">
        <v>11</v>
      </c>
      <c r="AF81" s="9">
        <v>2</v>
      </c>
      <c r="AG81" s="9">
        <v>0</v>
      </c>
      <c r="AH81" s="9">
        <v>0</v>
      </c>
      <c r="AI81" s="9">
        <v>2</v>
      </c>
      <c r="AJ81" s="9">
        <f t="shared" si="4"/>
        <v>13</v>
      </c>
      <c r="AK81" s="45">
        <f t="shared" si="5"/>
        <v>146.01600000000002</v>
      </c>
      <c r="AL81" s="68">
        <v>6</v>
      </c>
      <c r="AM81" s="68">
        <v>0</v>
      </c>
    </row>
    <row r="82" spans="1:39" x14ac:dyDescent="0.2">
      <c r="A82" s="57" t="s">
        <v>2082</v>
      </c>
      <c r="B82" s="47">
        <v>46173</v>
      </c>
      <c r="C82" s="48"/>
      <c r="D82" s="48" t="s">
        <v>1289</v>
      </c>
      <c r="E82" s="49" t="s">
        <v>1000</v>
      </c>
      <c r="F82" s="49" t="s">
        <v>1060</v>
      </c>
      <c r="G82" s="47" t="e">
        <v>#N/A</v>
      </c>
      <c r="H82" s="47" t="s">
        <v>94</v>
      </c>
      <c r="I82" s="9" t="s">
        <v>1092</v>
      </c>
      <c r="J82" s="40" t="s">
        <v>1839</v>
      </c>
      <c r="K82" s="9" t="s">
        <v>195</v>
      </c>
      <c r="L82" s="9" t="s">
        <v>32</v>
      </c>
      <c r="M82" s="11"/>
      <c r="N82" s="11"/>
      <c r="O82" s="50">
        <v>11.232000000000001</v>
      </c>
      <c r="R82" s="9">
        <f>IFERROR(VLOOKUP(E82,Sheet6!$A$2:$B$500,2,FALSE),0)</f>
        <v>0</v>
      </c>
      <c r="S82" s="41">
        <f>IFERROR(VLOOKUP(E82,Sheet6!$C$2:$D$35017,2,FALSE),0)</f>
        <v>0</v>
      </c>
      <c r="U82" s="9">
        <f>IFERROR(VLOOKUP(E82,Sheet2!$AA$1:$AB$975,2,FALSE),0)</f>
        <v>0</v>
      </c>
      <c r="V82" s="41">
        <f>IFERROR(VLOOKUP(E82,Sheet2!$AC$1:$AD$975,2,FALSE),0)</f>
        <v>0</v>
      </c>
      <c r="W82" s="42">
        <f>IFERROR(VLOOKUP(E82,Sheet2!$AE$1:$AF$975,2,FALSE),0)</f>
        <v>0</v>
      </c>
      <c r="X82" s="43">
        <f>IFERROR(VLOOKUP(E82,Sheet2!$AG$1:$AH$975,2,FALSE),0)</f>
        <v>0</v>
      </c>
      <c r="Z82" s="60">
        <f>IFERROR(VLOOKUP(F82,Sheet2!$AA$1:$AB$975,2,FALSE),0)</f>
        <v>0</v>
      </c>
      <c r="AA82" s="64">
        <f>IFERROR(VLOOKUP(F82,Sheet2!$AC$1:$AD$975,2,FALSE),0)</f>
        <v>0</v>
      </c>
      <c r="AB82" s="65">
        <f>IFERROR(VLOOKUP(F82,Sheet2!$AE$2:$AF$6539,2,FALSE),0)</f>
        <v>0</v>
      </c>
      <c r="AC82" s="43">
        <f>IFERROR(VLOOKUP(F82,Sheet2!$AG$2:$AH$6539,2,FALSE),0)</f>
        <v>0</v>
      </c>
      <c r="AE82" s="112">
        <v>10</v>
      </c>
      <c r="AF82" s="9">
        <v>0</v>
      </c>
      <c r="AG82" s="9">
        <v>0</v>
      </c>
      <c r="AH82" s="9">
        <v>0</v>
      </c>
      <c r="AI82" s="9">
        <v>0</v>
      </c>
      <c r="AJ82" s="9">
        <f t="shared" si="4"/>
        <v>10</v>
      </c>
      <c r="AK82" s="45">
        <f t="shared" si="5"/>
        <v>112.32000000000001</v>
      </c>
      <c r="AL82" s="68">
        <v>6</v>
      </c>
      <c r="AM82" s="68">
        <v>12</v>
      </c>
    </row>
    <row r="83" spans="1:39" x14ac:dyDescent="0.2">
      <c r="A83" s="57" t="s">
        <v>2082</v>
      </c>
      <c r="B83" s="47">
        <v>46173</v>
      </c>
      <c r="C83" s="48"/>
      <c r="D83" s="48" t="s">
        <v>1290</v>
      </c>
      <c r="E83" s="49" t="s">
        <v>1001</v>
      </c>
      <c r="F83" s="49" t="s">
        <v>1061</v>
      </c>
      <c r="G83" s="47" t="e">
        <v>#N/A</v>
      </c>
      <c r="H83" s="47" t="s">
        <v>22</v>
      </c>
      <c r="I83" s="9" t="s">
        <v>1092</v>
      </c>
      <c r="J83" s="40" t="s">
        <v>1839</v>
      </c>
      <c r="K83" s="9" t="s">
        <v>195</v>
      </c>
      <c r="L83" s="9" t="s">
        <v>35</v>
      </c>
      <c r="M83" s="11"/>
      <c r="N83" s="11"/>
      <c r="O83" s="50">
        <v>11.232000000000001</v>
      </c>
      <c r="R83" s="9">
        <f>IFERROR(VLOOKUP(E83,Sheet6!$A$2:$B$500,2,FALSE),0)</f>
        <v>0</v>
      </c>
      <c r="S83" s="41">
        <f>IFERROR(VLOOKUP(E83,Sheet6!$C$2:$D$35017,2,FALSE),0)</f>
        <v>0</v>
      </c>
      <c r="U83" s="9">
        <f>IFERROR(VLOOKUP(E83,Sheet2!$AA$1:$AB$975,2,FALSE),0)</f>
        <v>0</v>
      </c>
      <c r="V83" s="41">
        <f>IFERROR(VLOOKUP(E83,Sheet2!$AC$1:$AD$975,2,FALSE),0)</f>
        <v>0</v>
      </c>
      <c r="W83" s="42">
        <f>IFERROR(VLOOKUP(E83,Sheet2!$AE$1:$AF$975,2,FALSE),0)</f>
        <v>0</v>
      </c>
      <c r="X83" s="43">
        <f>IFERROR(VLOOKUP(E83,Sheet2!$AG$1:$AH$975,2,FALSE),0)</f>
        <v>0</v>
      </c>
      <c r="Z83" s="60">
        <f>IFERROR(VLOOKUP(F83,Sheet2!$AA$1:$AB$975,2,FALSE),0)</f>
        <v>0</v>
      </c>
      <c r="AA83" s="64">
        <f>IFERROR(VLOOKUP(F83,Sheet2!$AC$1:$AD$975,2,FALSE),0)</f>
        <v>0</v>
      </c>
      <c r="AB83" s="65">
        <f>IFERROR(VLOOKUP(F83,Sheet2!$AE$2:$AF$6539,2,FALSE),0)</f>
        <v>0</v>
      </c>
      <c r="AC83" s="43">
        <f>IFERROR(VLOOKUP(F83,Sheet2!$AG$2:$AH$6539,2,FALSE),0)</f>
        <v>0</v>
      </c>
      <c r="AE83" s="112">
        <v>29</v>
      </c>
      <c r="AF83" s="9">
        <v>10</v>
      </c>
      <c r="AG83" s="9">
        <v>0</v>
      </c>
      <c r="AH83" s="9">
        <v>0</v>
      </c>
      <c r="AI83" s="9">
        <v>10</v>
      </c>
      <c r="AJ83" s="9">
        <f t="shared" si="4"/>
        <v>39</v>
      </c>
      <c r="AK83" s="45">
        <f t="shared" si="5"/>
        <v>438.04800000000006</v>
      </c>
      <c r="AL83" s="68">
        <v>0</v>
      </c>
      <c r="AM83" s="68">
        <v>0</v>
      </c>
    </row>
    <row r="84" spans="1:39" x14ac:dyDescent="0.2">
      <c r="A84" s="57" t="s">
        <v>2082</v>
      </c>
      <c r="B84" s="47">
        <v>46173</v>
      </c>
      <c r="C84" s="111"/>
      <c r="D84" s="48" t="s">
        <v>1291</v>
      </c>
      <c r="E84" s="49" t="s">
        <v>192</v>
      </c>
      <c r="F84" s="49" t="s">
        <v>193</v>
      </c>
      <c r="G84" s="47" t="e">
        <v>#N/A</v>
      </c>
      <c r="H84" s="47" t="s">
        <v>22</v>
      </c>
      <c r="I84" s="9" t="s">
        <v>194</v>
      </c>
      <c r="J84" s="40" t="s">
        <v>1831</v>
      </c>
      <c r="K84" s="9" t="s">
        <v>195</v>
      </c>
      <c r="L84" s="9" t="s">
        <v>188</v>
      </c>
      <c r="M84" s="11"/>
      <c r="N84" s="11"/>
      <c r="O84" s="50">
        <v>7.7760000000000007</v>
      </c>
      <c r="R84" s="9">
        <f>IFERROR(VLOOKUP(E84,Sheet6!$A$2:$B$500,2,FALSE),0)</f>
        <v>0</v>
      </c>
      <c r="S84" s="41">
        <f>IFERROR(VLOOKUP(E84,Sheet6!$C$2:$D$35017,2,FALSE),0)</f>
        <v>0</v>
      </c>
      <c r="U84" s="9">
        <f>IFERROR(VLOOKUP(E84,Sheet2!$AA$1:$AB$975,2,FALSE),0)</f>
        <v>0</v>
      </c>
      <c r="V84" s="41">
        <f>IFERROR(VLOOKUP(E84,Sheet2!$AC$1:$AD$975,2,FALSE),0)</f>
        <v>0</v>
      </c>
      <c r="W84" s="42">
        <f>IFERROR(VLOOKUP(E84,Sheet2!$AE$1:$AF$975,2,FALSE),0)</f>
        <v>0</v>
      </c>
      <c r="X84" s="43">
        <f>IFERROR(VLOOKUP(E84,Sheet2!$AG$1:$AH$975,2,FALSE),0)</f>
        <v>0</v>
      </c>
      <c r="Z84" s="60">
        <f>IFERROR(VLOOKUP(F84,Sheet2!$AA$1:$AB$975,2,FALSE),0)</f>
        <v>0</v>
      </c>
      <c r="AA84" s="64">
        <f>IFERROR(VLOOKUP(F84,Sheet2!$AC$1:$AD$975,2,FALSE),0)</f>
        <v>0</v>
      </c>
      <c r="AB84" s="65">
        <f>IFERROR(VLOOKUP(F84,Sheet2!$AE$2:$AF$6539,2,FALSE),0)</f>
        <v>0</v>
      </c>
      <c r="AC84" s="43">
        <f>IFERROR(VLOOKUP(F84,Sheet2!$AG$2:$AH$6539,2,FALSE),0)</f>
        <v>0</v>
      </c>
      <c r="AE84" s="112">
        <v>0</v>
      </c>
      <c r="AF84" s="9">
        <v>0</v>
      </c>
      <c r="AG84" s="9">
        <v>0</v>
      </c>
      <c r="AH84" s="9">
        <v>0</v>
      </c>
      <c r="AI84" s="9">
        <v>0</v>
      </c>
      <c r="AJ84" s="9">
        <f t="shared" si="4"/>
        <v>0</v>
      </c>
      <c r="AK84" s="45">
        <f t="shared" si="5"/>
        <v>0</v>
      </c>
      <c r="AL84" s="68">
        <v>0</v>
      </c>
      <c r="AM84" s="68">
        <v>0</v>
      </c>
    </row>
    <row r="85" spans="1:39" x14ac:dyDescent="0.2">
      <c r="A85" s="57" t="s">
        <v>2082</v>
      </c>
      <c r="B85" s="47">
        <v>46173</v>
      </c>
      <c r="C85" s="111"/>
      <c r="D85" s="48" t="s">
        <v>1292</v>
      </c>
      <c r="E85" s="49" t="s">
        <v>196</v>
      </c>
      <c r="F85" s="49" t="s">
        <v>197</v>
      </c>
      <c r="G85" s="47" t="e">
        <v>#N/A</v>
      </c>
      <c r="H85" s="47" t="s">
        <v>22</v>
      </c>
      <c r="I85" s="9" t="s">
        <v>194</v>
      </c>
      <c r="J85" s="40" t="s">
        <v>1831</v>
      </c>
      <c r="K85" s="9" t="s">
        <v>195</v>
      </c>
      <c r="L85" s="9" t="s">
        <v>35</v>
      </c>
      <c r="M85" s="11"/>
      <c r="N85" s="11"/>
      <c r="O85" s="50">
        <v>7.7760000000000007</v>
      </c>
      <c r="R85" s="9">
        <f>IFERROR(VLOOKUP(E85,Sheet6!$A$2:$B$500,2,FALSE),0)</f>
        <v>0</v>
      </c>
      <c r="S85" s="41">
        <f>IFERROR(VLOOKUP(E85,Sheet6!$C$2:$D$35017,2,FALSE),0)</f>
        <v>0</v>
      </c>
      <c r="U85" s="9">
        <f>IFERROR(VLOOKUP(E85,Sheet2!$AA$1:$AB$975,2,FALSE),0)</f>
        <v>0</v>
      </c>
      <c r="V85" s="41">
        <f>IFERROR(VLOOKUP(E85,Sheet2!$AC$1:$AD$975,2,FALSE),0)</f>
        <v>0</v>
      </c>
      <c r="W85" s="42">
        <f>IFERROR(VLOOKUP(E85,Sheet2!$AE$1:$AF$975,2,FALSE),0)</f>
        <v>0</v>
      </c>
      <c r="X85" s="43">
        <f>IFERROR(VLOOKUP(E85,Sheet2!$AG$1:$AH$975,2,FALSE),0)</f>
        <v>0</v>
      </c>
      <c r="Z85" s="60">
        <f>IFERROR(VLOOKUP(F85,Sheet2!$AA$1:$AB$975,2,FALSE),0)</f>
        <v>0</v>
      </c>
      <c r="AA85" s="64">
        <f>IFERROR(VLOOKUP(F85,Sheet2!$AC$1:$AD$975,2,FALSE),0)</f>
        <v>0</v>
      </c>
      <c r="AB85" s="65">
        <f>IFERROR(VLOOKUP(F85,Sheet2!$AE$2:$AF$6539,2,FALSE),0)</f>
        <v>0</v>
      </c>
      <c r="AC85" s="43">
        <f>IFERROR(VLOOKUP(F85,Sheet2!$AG$2:$AH$6539,2,FALSE),0)</f>
        <v>0</v>
      </c>
      <c r="AE85" s="112">
        <v>0</v>
      </c>
      <c r="AF85" s="9">
        <v>0</v>
      </c>
      <c r="AG85" s="9">
        <v>0</v>
      </c>
      <c r="AH85" s="9">
        <v>0</v>
      </c>
      <c r="AI85" s="9">
        <v>0</v>
      </c>
      <c r="AJ85" s="9">
        <f t="shared" si="4"/>
        <v>0</v>
      </c>
      <c r="AK85" s="45">
        <f t="shared" si="5"/>
        <v>0</v>
      </c>
      <c r="AL85" s="68">
        <v>0</v>
      </c>
      <c r="AM85" s="68">
        <v>0</v>
      </c>
    </row>
    <row r="86" spans="1:39" x14ac:dyDescent="0.2">
      <c r="A86" s="57" t="s">
        <v>2082</v>
      </c>
      <c r="B86" s="47">
        <v>46173</v>
      </c>
      <c r="C86" s="111"/>
      <c r="D86" s="48" t="s">
        <v>1293</v>
      </c>
      <c r="E86" s="49" t="s">
        <v>198</v>
      </c>
      <c r="F86" s="49" t="s">
        <v>199</v>
      </c>
      <c r="G86" s="47" t="e">
        <v>#N/A</v>
      </c>
      <c r="H86" s="47" t="s">
        <v>22</v>
      </c>
      <c r="I86" s="9" t="s">
        <v>194</v>
      </c>
      <c r="J86" s="40" t="s">
        <v>1831</v>
      </c>
      <c r="K86" s="9" t="s">
        <v>200</v>
      </c>
      <c r="L86" s="9" t="s">
        <v>29</v>
      </c>
      <c r="M86" s="11"/>
      <c r="N86" s="11"/>
      <c r="O86" s="50">
        <v>7.7760000000000007</v>
      </c>
      <c r="R86" s="9">
        <f>IFERROR(VLOOKUP(E86,Sheet6!$A$2:$B$500,2,FALSE),0)</f>
        <v>0</v>
      </c>
      <c r="S86" s="41">
        <f>IFERROR(VLOOKUP(E86,Sheet6!$C$2:$D$35017,2,FALSE),0)</f>
        <v>0</v>
      </c>
      <c r="U86" s="9">
        <f>IFERROR(VLOOKUP(E86,Sheet2!$AA$1:$AB$975,2,FALSE),0)</f>
        <v>0</v>
      </c>
      <c r="V86" s="41">
        <f>IFERROR(VLOOKUP(E86,Sheet2!$AC$1:$AD$975,2,FALSE),0)</f>
        <v>0</v>
      </c>
      <c r="W86" s="42">
        <f>IFERROR(VLOOKUP(E86,Sheet2!$AE$1:$AF$975,2,FALSE),0)</f>
        <v>0</v>
      </c>
      <c r="X86" s="43">
        <f>IFERROR(VLOOKUP(E86,Sheet2!$AG$1:$AH$975,2,FALSE),0)</f>
        <v>0</v>
      </c>
      <c r="Z86" s="60">
        <f>IFERROR(VLOOKUP(F86,Sheet2!$AA$1:$AB$975,2,FALSE),0)</f>
        <v>0</v>
      </c>
      <c r="AA86" s="64">
        <f>IFERROR(VLOOKUP(F86,Sheet2!$AC$1:$AD$975,2,FALSE),0)</f>
        <v>0</v>
      </c>
      <c r="AB86" s="65">
        <f>IFERROR(VLOOKUP(F86,Sheet2!$AE$2:$AF$6539,2,FALSE),0)</f>
        <v>0</v>
      </c>
      <c r="AC86" s="43">
        <f>IFERROR(VLOOKUP(F86,Sheet2!$AG$2:$AH$6539,2,FALSE),0)</f>
        <v>0</v>
      </c>
      <c r="AE86" s="112">
        <v>0</v>
      </c>
      <c r="AF86" s="9">
        <v>0</v>
      </c>
      <c r="AG86" s="9">
        <v>0</v>
      </c>
      <c r="AH86" s="9">
        <v>0</v>
      </c>
      <c r="AI86" s="9">
        <v>0</v>
      </c>
      <c r="AJ86" s="9">
        <f t="shared" si="4"/>
        <v>0</v>
      </c>
      <c r="AK86" s="45">
        <f t="shared" si="5"/>
        <v>0</v>
      </c>
      <c r="AL86" s="68">
        <v>0</v>
      </c>
      <c r="AM86" s="68">
        <v>0</v>
      </c>
    </row>
    <row r="87" spans="1:39" x14ac:dyDescent="0.2">
      <c r="A87" s="57" t="s">
        <v>2082</v>
      </c>
      <c r="B87" s="47">
        <v>46173</v>
      </c>
      <c r="C87" s="111"/>
      <c r="D87" s="48" t="s">
        <v>1294</v>
      </c>
      <c r="E87" s="49" t="s">
        <v>201</v>
      </c>
      <c r="F87" s="49" t="s">
        <v>202</v>
      </c>
      <c r="G87" s="47" t="e">
        <v>#N/A</v>
      </c>
      <c r="H87" s="47" t="s">
        <v>22</v>
      </c>
      <c r="I87" s="9" t="s">
        <v>194</v>
      </c>
      <c r="J87" s="40" t="s">
        <v>1831</v>
      </c>
      <c r="K87" s="9" t="s">
        <v>200</v>
      </c>
      <c r="L87" s="9" t="s">
        <v>32</v>
      </c>
      <c r="M87" s="11"/>
      <c r="N87" s="11"/>
      <c r="O87" s="50">
        <v>7.7760000000000007</v>
      </c>
      <c r="R87" s="9">
        <f>IFERROR(VLOOKUP(E87,Sheet6!$A$2:$B$500,2,FALSE),0)</f>
        <v>0</v>
      </c>
      <c r="S87" s="41">
        <f>IFERROR(VLOOKUP(E87,Sheet6!$C$2:$D$35017,2,FALSE),0)</f>
        <v>0</v>
      </c>
      <c r="U87" s="9">
        <f>IFERROR(VLOOKUP(E87,Sheet2!$AA$1:$AB$975,2,FALSE),0)</f>
        <v>0</v>
      </c>
      <c r="V87" s="41">
        <f>IFERROR(VLOOKUP(E87,Sheet2!$AC$1:$AD$975,2,FALSE),0)</f>
        <v>0</v>
      </c>
      <c r="W87" s="42">
        <f>IFERROR(VLOOKUP(E87,Sheet2!$AE$1:$AF$975,2,FALSE),0)</f>
        <v>0</v>
      </c>
      <c r="X87" s="43">
        <f>IFERROR(VLOOKUP(E87,Sheet2!$AG$1:$AH$975,2,FALSE),0)</f>
        <v>0</v>
      </c>
      <c r="Z87" s="60">
        <f>IFERROR(VLOOKUP(F87,Sheet2!$AA$1:$AB$975,2,FALSE),0)</f>
        <v>0</v>
      </c>
      <c r="AA87" s="64">
        <f>IFERROR(VLOOKUP(F87,Sheet2!$AC$1:$AD$975,2,FALSE),0)</f>
        <v>0</v>
      </c>
      <c r="AB87" s="65">
        <f>IFERROR(VLOOKUP(F87,Sheet2!$AE$2:$AF$6539,2,FALSE),0)</f>
        <v>0</v>
      </c>
      <c r="AC87" s="43">
        <f>IFERROR(VLOOKUP(F87,Sheet2!$AG$2:$AH$6539,2,FALSE),0)</f>
        <v>0</v>
      </c>
      <c r="AE87" s="112">
        <v>0</v>
      </c>
      <c r="AF87" s="9">
        <v>0</v>
      </c>
      <c r="AG87" s="9">
        <v>0</v>
      </c>
      <c r="AH87" s="9">
        <v>0</v>
      </c>
      <c r="AI87" s="9">
        <v>0</v>
      </c>
      <c r="AJ87" s="9">
        <f t="shared" si="4"/>
        <v>0</v>
      </c>
      <c r="AK87" s="45">
        <f t="shared" si="5"/>
        <v>0</v>
      </c>
      <c r="AL87" s="68">
        <v>0</v>
      </c>
      <c r="AM87" s="68">
        <v>0</v>
      </c>
    </row>
    <row r="88" spans="1:39" x14ac:dyDescent="0.2">
      <c r="A88" s="57" t="s">
        <v>2082</v>
      </c>
      <c r="B88" s="47">
        <v>46173</v>
      </c>
      <c r="C88" s="111"/>
      <c r="D88" s="48" t="s">
        <v>1295</v>
      </c>
      <c r="E88" s="49" t="s">
        <v>203</v>
      </c>
      <c r="F88" s="49" t="s">
        <v>204</v>
      </c>
      <c r="G88" s="47" t="e">
        <v>#N/A</v>
      </c>
      <c r="H88" s="47" t="s">
        <v>22</v>
      </c>
      <c r="I88" s="9" t="s">
        <v>194</v>
      </c>
      <c r="J88" s="40" t="s">
        <v>1831</v>
      </c>
      <c r="K88" s="9" t="s">
        <v>190</v>
      </c>
      <c r="L88" s="9" t="s">
        <v>29</v>
      </c>
      <c r="M88" s="11"/>
      <c r="N88" s="11"/>
      <c r="O88" s="50">
        <v>7.7760000000000007</v>
      </c>
      <c r="R88" s="9">
        <f>IFERROR(VLOOKUP(E88,Sheet6!$A$2:$B$500,2,FALSE),0)</f>
        <v>0</v>
      </c>
      <c r="S88" s="41">
        <f>IFERROR(VLOOKUP(E88,Sheet6!$C$2:$D$35017,2,FALSE),0)</f>
        <v>0</v>
      </c>
      <c r="U88" s="9">
        <f>IFERROR(VLOOKUP(E88,Sheet2!$AA$1:$AB$975,2,FALSE),0)</f>
        <v>0</v>
      </c>
      <c r="V88" s="41">
        <f>IFERROR(VLOOKUP(E88,Sheet2!$AC$1:$AD$975,2,FALSE),0)</f>
        <v>0</v>
      </c>
      <c r="W88" s="42">
        <f>IFERROR(VLOOKUP(E88,Sheet2!$AE$1:$AF$975,2,FALSE),0)</f>
        <v>0</v>
      </c>
      <c r="X88" s="43">
        <f>IFERROR(VLOOKUP(E88,Sheet2!$AG$1:$AH$975,2,FALSE),0)</f>
        <v>0</v>
      </c>
      <c r="Z88" s="60">
        <f>IFERROR(VLOOKUP(F88,Sheet2!$AA$1:$AB$975,2,FALSE),0)</f>
        <v>0</v>
      </c>
      <c r="AA88" s="64">
        <f>IFERROR(VLOOKUP(F88,Sheet2!$AC$1:$AD$975,2,FALSE),0)</f>
        <v>0</v>
      </c>
      <c r="AB88" s="65">
        <f>IFERROR(VLOOKUP(F88,Sheet2!$AE$2:$AF$6539,2,FALSE),0)</f>
        <v>0</v>
      </c>
      <c r="AC88" s="43">
        <f>IFERROR(VLOOKUP(F88,Sheet2!$AG$2:$AH$6539,2,FALSE),0)</f>
        <v>0</v>
      </c>
      <c r="AE88" s="112">
        <v>0</v>
      </c>
      <c r="AF88" s="9">
        <v>0</v>
      </c>
      <c r="AG88" s="9">
        <v>0</v>
      </c>
      <c r="AH88" s="9">
        <v>0</v>
      </c>
      <c r="AI88" s="9">
        <v>0</v>
      </c>
      <c r="AJ88" s="9">
        <f t="shared" si="4"/>
        <v>0</v>
      </c>
      <c r="AK88" s="45">
        <f t="shared" si="5"/>
        <v>0</v>
      </c>
      <c r="AL88" s="68">
        <v>0</v>
      </c>
      <c r="AM88" s="68">
        <v>0</v>
      </c>
    </row>
    <row r="89" spans="1:39" x14ac:dyDescent="0.2">
      <c r="A89" s="57" t="s">
        <v>2082</v>
      </c>
      <c r="B89" s="47">
        <v>46173</v>
      </c>
      <c r="C89" s="48"/>
      <c r="D89" s="48" t="s">
        <v>1296</v>
      </c>
      <c r="E89" s="49" t="s">
        <v>206</v>
      </c>
      <c r="F89" s="49" t="s">
        <v>207</v>
      </c>
      <c r="G89" s="47" t="e">
        <v>#N/A</v>
      </c>
      <c r="H89" s="47" t="s">
        <v>22</v>
      </c>
      <c r="I89" s="9" t="s">
        <v>208</v>
      </c>
      <c r="J89" s="40" t="s">
        <v>1745</v>
      </c>
      <c r="K89" s="9" t="s">
        <v>209</v>
      </c>
      <c r="L89" s="9" t="s">
        <v>29</v>
      </c>
      <c r="M89" s="11"/>
      <c r="N89" s="11"/>
      <c r="O89" s="50">
        <v>6.9119999999999999</v>
      </c>
      <c r="R89" s="9">
        <f>IFERROR(VLOOKUP(E89,Sheet6!$A$2:$B$500,2,FALSE),0)</f>
        <v>0</v>
      </c>
      <c r="S89" s="41">
        <f>IFERROR(VLOOKUP(E89,Sheet6!$C$2:$D$35017,2,FALSE),0)</f>
        <v>0</v>
      </c>
      <c r="U89" s="9">
        <f>IFERROR(VLOOKUP(E89,Sheet2!$AA$1:$AB$975,2,FALSE),0)</f>
        <v>0</v>
      </c>
      <c r="V89" s="41">
        <f>IFERROR(VLOOKUP(E89,Sheet2!$AC$1:$AD$975,2,FALSE),0)</f>
        <v>0</v>
      </c>
      <c r="W89" s="42">
        <f>IFERROR(VLOOKUP(E89,Sheet2!$AE$1:$AF$975,2,FALSE),0)</f>
        <v>0</v>
      </c>
      <c r="X89" s="43">
        <f>IFERROR(VLOOKUP(E89,Sheet2!$AG$1:$AH$975,2,FALSE),0)</f>
        <v>0</v>
      </c>
      <c r="Z89" s="60">
        <f>IFERROR(VLOOKUP(F89,Sheet2!$AA$1:$AB$975,2,FALSE),0)</f>
        <v>0</v>
      </c>
      <c r="AA89" s="64">
        <f>IFERROR(VLOOKUP(F89,Sheet2!$AC$1:$AD$975,2,FALSE),0)</f>
        <v>0</v>
      </c>
      <c r="AB89" s="65">
        <f>IFERROR(VLOOKUP(F89,Sheet2!$AE$2:$AF$6539,2,FALSE),0)</f>
        <v>0</v>
      </c>
      <c r="AC89" s="43">
        <f>IFERROR(VLOOKUP(F89,Sheet2!$AG$2:$AH$6539,2,FALSE),0)</f>
        <v>0</v>
      </c>
      <c r="AE89" s="112">
        <v>10</v>
      </c>
      <c r="AF89" s="9">
        <v>0</v>
      </c>
      <c r="AG89" s="9">
        <v>0</v>
      </c>
      <c r="AH89" s="9">
        <v>0</v>
      </c>
      <c r="AI89" s="9">
        <v>0</v>
      </c>
      <c r="AJ89" s="9">
        <f t="shared" si="4"/>
        <v>10</v>
      </c>
      <c r="AK89" s="45">
        <f t="shared" si="5"/>
        <v>69.12</v>
      </c>
      <c r="AL89" s="68">
        <v>0</v>
      </c>
      <c r="AM89" s="68">
        <v>12</v>
      </c>
    </row>
    <row r="90" spans="1:39" x14ac:dyDescent="0.2">
      <c r="A90" s="57" t="s">
        <v>2082</v>
      </c>
      <c r="B90" s="47">
        <v>46173</v>
      </c>
      <c r="C90" s="48"/>
      <c r="D90" s="48" t="s">
        <v>1297</v>
      </c>
      <c r="E90" s="49" t="s">
        <v>210</v>
      </c>
      <c r="F90" s="49" t="s">
        <v>211</v>
      </c>
      <c r="G90" s="47" t="e">
        <v>#N/A</v>
      </c>
      <c r="H90" s="47" t="s">
        <v>22</v>
      </c>
      <c r="I90" s="9" t="s">
        <v>208</v>
      </c>
      <c r="J90" s="40" t="s">
        <v>1745</v>
      </c>
      <c r="K90" s="9" t="s">
        <v>209</v>
      </c>
      <c r="L90" s="9" t="s">
        <v>32</v>
      </c>
      <c r="M90" s="11"/>
      <c r="N90" s="11"/>
      <c r="O90" s="50">
        <v>6.9119999999999999</v>
      </c>
      <c r="R90" s="9">
        <f>IFERROR(VLOOKUP(E90,Sheet6!$A$2:$B$500,2,FALSE),0)</f>
        <v>0</v>
      </c>
      <c r="S90" s="41">
        <f>IFERROR(VLOOKUP(E90,Sheet6!$C$2:$D$35017,2,FALSE),0)</f>
        <v>0</v>
      </c>
      <c r="U90" s="9">
        <f>IFERROR(VLOOKUP(E90,Sheet2!$AA$1:$AB$975,2,FALSE),0)</f>
        <v>0</v>
      </c>
      <c r="V90" s="41">
        <f>IFERROR(VLOOKUP(E90,Sheet2!$AC$1:$AD$975,2,FALSE),0)</f>
        <v>0</v>
      </c>
      <c r="W90" s="42">
        <f>IFERROR(VLOOKUP(E90,Sheet2!$AE$1:$AF$975,2,FALSE),0)</f>
        <v>0</v>
      </c>
      <c r="X90" s="43">
        <f>IFERROR(VLOOKUP(E90,Sheet2!$AG$1:$AH$975,2,FALSE),0)</f>
        <v>0</v>
      </c>
      <c r="Z90" s="60">
        <f>IFERROR(VLOOKUP(F90,Sheet2!$AA$1:$AB$975,2,FALSE),0)</f>
        <v>0</v>
      </c>
      <c r="AA90" s="64">
        <f>IFERROR(VLOOKUP(F90,Sheet2!$AC$1:$AD$975,2,FALSE),0)</f>
        <v>0</v>
      </c>
      <c r="AB90" s="65">
        <f>IFERROR(VLOOKUP(F90,Sheet2!$AE$2:$AF$6539,2,FALSE),0)</f>
        <v>0</v>
      </c>
      <c r="AC90" s="43">
        <f>IFERROR(VLOOKUP(F90,Sheet2!$AG$2:$AH$6539,2,FALSE),0)</f>
        <v>0</v>
      </c>
      <c r="AE90" s="112">
        <v>0</v>
      </c>
      <c r="AF90" s="9">
        <v>0</v>
      </c>
      <c r="AG90" s="9">
        <v>0</v>
      </c>
      <c r="AH90" s="9">
        <v>0</v>
      </c>
      <c r="AI90" s="9">
        <v>0</v>
      </c>
      <c r="AJ90" s="9">
        <f t="shared" si="4"/>
        <v>0</v>
      </c>
      <c r="AK90" s="45">
        <f t="shared" si="5"/>
        <v>0</v>
      </c>
      <c r="AL90" s="68">
        <v>0</v>
      </c>
      <c r="AM90" s="68">
        <v>30</v>
      </c>
    </row>
    <row r="91" spans="1:39" x14ac:dyDescent="0.2">
      <c r="A91" s="57" t="s">
        <v>2082</v>
      </c>
      <c r="B91" s="47">
        <v>46173</v>
      </c>
      <c r="C91" s="48"/>
      <c r="D91" s="48" t="s">
        <v>1298</v>
      </c>
      <c r="E91" s="49" t="s">
        <v>212</v>
      </c>
      <c r="F91" s="49" t="s">
        <v>213</v>
      </c>
      <c r="G91" s="47" t="e">
        <v>#N/A</v>
      </c>
      <c r="H91" s="47" t="s">
        <v>22</v>
      </c>
      <c r="I91" s="9" t="s">
        <v>214</v>
      </c>
      <c r="J91" s="40" t="s">
        <v>1671</v>
      </c>
      <c r="K91" s="9" t="s">
        <v>41</v>
      </c>
      <c r="L91" s="9" t="s">
        <v>29</v>
      </c>
      <c r="M91" s="11"/>
      <c r="N91" s="11"/>
      <c r="O91" s="50">
        <v>8.2080000000000002</v>
      </c>
      <c r="R91" s="9">
        <f>IFERROR(VLOOKUP(E91,Sheet6!$A$2:$B$500,2,FALSE),0)</f>
        <v>0</v>
      </c>
      <c r="S91" s="41">
        <f>IFERROR(VLOOKUP(E91,Sheet6!$C$2:$D$35017,2,FALSE),0)</f>
        <v>0</v>
      </c>
      <c r="U91" s="9">
        <f>IFERROR(VLOOKUP(E91,Sheet2!$AA$1:$AB$975,2,FALSE),0)</f>
        <v>0</v>
      </c>
      <c r="V91" s="41">
        <f>IFERROR(VLOOKUP(E91,Sheet2!$AC$1:$AD$975,2,FALSE),0)</f>
        <v>0</v>
      </c>
      <c r="W91" s="42">
        <f>IFERROR(VLOOKUP(E91,Sheet2!$AE$1:$AF$975,2,FALSE),0)</f>
        <v>0</v>
      </c>
      <c r="X91" s="43">
        <f>IFERROR(VLOOKUP(E91,Sheet2!$AG$1:$AH$975,2,FALSE),0)</f>
        <v>0</v>
      </c>
      <c r="Z91" s="60">
        <f>IFERROR(VLOOKUP(F91,Sheet2!$AA$1:$AB$975,2,FALSE),0)</f>
        <v>2</v>
      </c>
      <c r="AA91" s="64">
        <f>IFERROR(VLOOKUP(F91,Sheet2!$AC$1:$AD$975,2,FALSE),0)</f>
        <v>38</v>
      </c>
      <c r="AB91" s="65">
        <f>IFERROR(VLOOKUP(F91,Sheet2!$AE$2:$AF$6539,2,FALSE),0)</f>
        <v>9</v>
      </c>
      <c r="AC91" s="43">
        <f>IFERROR(VLOOKUP(F91,Sheet2!$AG$2:$AH$6539,2,FALSE),0)</f>
        <v>0.9</v>
      </c>
      <c r="AE91" s="112">
        <v>0</v>
      </c>
      <c r="AF91" s="9">
        <v>27</v>
      </c>
      <c r="AG91" s="9">
        <v>0</v>
      </c>
      <c r="AH91" s="9">
        <v>0</v>
      </c>
      <c r="AI91" s="9">
        <v>27</v>
      </c>
      <c r="AJ91" s="9">
        <f t="shared" si="4"/>
        <v>27</v>
      </c>
      <c r="AK91" s="45">
        <f t="shared" si="5"/>
        <v>221.61600000000001</v>
      </c>
      <c r="AL91" s="68">
        <v>0</v>
      </c>
      <c r="AM91" s="68">
        <v>12</v>
      </c>
    </row>
    <row r="92" spans="1:39" x14ac:dyDescent="0.2">
      <c r="A92" s="57" t="s">
        <v>2082</v>
      </c>
      <c r="B92" s="47">
        <v>46173</v>
      </c>
      <c r="C92" s="48"/>
      <c r="D92" s="48" t="s">
        <v>1299</v>
      </c>
      <c r="E92" s="49" t="s">
        <v>215</v>
      </c>
      <c r="F92" s="49" t="s">
        <v>216</v>
      </c>
      <c r="G92" s="47" t="e">
        <v>#N/A</v>
      </c>
      <c r="H92" s="47" t="s">
        <v>22</v>
      </c>
      <c r="I92" s="9" t="s">
        <v>214</v>
      </c>
      <c r="J92" s="40" t="s">
        <v>1671</v>
      </c>
      <c r="K92" s="9" t="s">
        <v>41</v>
      </c>
      <c r="L92" s="9" t="s">
        <v>32</v>
      </c>
      <c r="M92" s="11"/>
      <c r="N92" s="11"/>
      <c r="O92" s="50">
        <v>8.2080000000000002</v>
      </c>
      <c r="R92" s="9">
        <f>IFERROR(VLOOKUP(E92,Sheet6!$A$2:$B$500,2,FALSE),0)</f>
        <v>0</v>
      </c>
      <c r="S92" s="41">
        <f>IFERROR(VLOOKUP(E92,Sheet6!$C$2:$D$35017,2,FALSE),0)</f>
        <v>0</v>
      </c>
      <c r="U92" s="9">
        <f>IFERROR(VLOOKUP(E92,Sheet2!$AA$1:$AB$975,2,FALSE),0)</f>
        <v>0</v>
      </c>
      <c r="V92" s="41">
        <f>IFERROR(VLOOKUP(E92,Sheet2!$AC$1:$AD$975,2,FALSE),0)</f>
        <v>0</v>
      </c>
      <c r="W92" s="42">
        <f>IFERROR(VLOOKUP(E92,Sheet2!$AE$1:$AF$975,2,FALSE),0)</f>
        <v>0</v>
      </c>
      <c r="X92" s="43">
        <f>IFERROR(VLOOKUP(E92,Sheet2!$AG$1:$AH$975,2,FALSE),0)</f>
        <v>0</v>
      </c>
      <c r="Z92" s="60">
        <f>IFERROR(VLOOKUP(F92,Sheet2!$AA$1:$AB$975,2,FALSE),0)</f>
        <v>0</v>
      </c>
      <c r="AA92" s="64">
        <f>IFERROR(VLOOKUP(F92,Sheet2!$AC$1:$AD$975,2,FALSE),0)</f>
        <v>0</v>
      </c>
      <c r="AB92" s="65">
        <f>IFERROR(VLOOKUP(F92,Sheet2!$AE$2:$AF$6539,2,FALSE),0)</f>
        <v>0</v>
      </c>
      <c r="AC92" s="43">
        <f>IFERROR(VLOOKUP(F92,Sheet2!$AG$2:$AH$6539,2,FALSE),0)</f>
        <v>0</v>
      </c>
      <c r="AE92" s="112">
        <v>30</v>
      </c>
      <c r="AF92" s="9">
        <v>1</v>
      </c>
      <c r="AG92" s="9">
        <v>0</v>
      </c>
      <c r="AH92" s="9">
        <v>0</v>
      </c>
      <c r="AI92" s="9">
        <v>1</v>
      </c>
      <c r="AJ92" s="9">
        <f t="shared" si="4"/>
        <v>31</v>
      </c>
      <c r="AK92" s="45">
        <f t="shared" si="5"/>
        <v>254.44800000000001</v>
      </c>
      <c r="AL92" s="68">
        <v>6</v>
      </c>
      <c r="AM92" s="68">
        <v>0</v>
      </c>
    </row>
    <row r="93" spans="1:39" x14ac:dyDescent="0.2">
      <c r="A93" s="57" t="s">
        <v>2082</v>
      </c>
      <c r="B93" s="47">
        <v>46173</v>
      </c>
      <c r="C93" s="108"/>
      <c r="D93" s="48" t="s">
        <v>1300</v>
      </c>
      <c r="E93" s="49" t="s">
        <v>217</v>
      </c>
      <c r="F93" s="49" t="s">
        <v>218</v>
      </c>
      <c r="G93" s="47" t="e">
        <v>#N/A</v>
      </c>
      <c r="H93" s="47" t="s">
        <v>22</v>
      </c>
      <c r="I93" s="9" t="s">
        <v>214</v>
      </c>
      <c r="J93" s="40" t="s">
        <v>1671</v>
      </c>
      <c r="K93" s="9" t="s">
        <v>41</v>
      </c>
      <c r="L93" s="9" t="s">
        <v>35</v>
      </c>
      <c r="M93" s="11"/>
      <c r="N93" s="11"/>
      <c r="O93" s="50">
        <v>8.2080000000000002</v>
      </c>
      <c r="R93" s="9">
        <f>IFERROR(VLOOKUP(E93,Sheet6!$A$2:$B$500,2,FALSE),0)</f>
        <v>0</v>
      </c>
      <c r="S93" s="41">
        <f>IFERROR(VLOOKUP(E93,Sheet6!$C$2:$D$35017,2,FALSE),0)</f>
        <v>0</v>
      </c>
      <c r="U93" s="9">
        <f>IFERROR(VLOOKUP(E93,Sheet2!$AA$1:$AB$975,2,FALSE),0)</f>
        <v>0</v>
      </c>
      <c r="V93" s="41">
        <f>IFERROR(VLOOKUP(E93,Sheet2!$AC$1:$AD$975,2,FALSE),0)</f>
        <v>0</v>
      </c>
      <c r="W93" s="42">
        <f>IFERROR(VLOOKUP(E93,Sheet2!$AE$1:$AF$975,2,FALSE),0)</f>
        <v>0</v>
      </c>
      <c r="X93" s="43">
        <f>IFERROR(VLOOKUP(E93,Sheet2!$AG$1:$AH$975,2,FALSE),0)</f>
        <v>0</v>
      </c>
      <c r="Z93" s="60">
        <f>IFERROR(VLOOKUP(F93,Sheet2!$AA$1:$AB$975,2,FALSE),0)</f>
        <v>0</v>
      </c>
      <c r="AA93" s="64">
        <f>IFERROR(VLOOKUP(F93,Sheet2!$AC$1:$AD$975,2,FALSE),0)</f>
        <v>0</v>
      </c>
      <c r="AB93" s="65">
        <f>IFERROR(VLOOKUP(F93,Sheet2!$AE$2:$AF$6539,2,FALSE),0)</f>
        <v>0</v>
      </c>
      <c r="AC93" s="43">
        <f>IFERROR(VLOOKUP(F93,Sheet2!$AG$2:$AH$6539,2,FALSE),0)</f>
        <v>0</v>
      </c>
      <c r="AE93" s="112">
        <v>0</v>
      </c>
      <c r="AF93" s="9">
        <v>0</v>
      </c>
      <c r="AG93" s="9">
        <v>0</v>
      </c>
      <c r="AH93" s="9">
        <v>0</v>
      </c>
      <c r="AI93" s="9">
        <v>0</v>
      </c>
      <c r="AJ93" s="9">
        <f t="shared" si="4"/>
        <v>0</v>
      </c>
      <c r="AK93" s="45">
        <f t="shared" si="5"/>
        <v>0</v>
      </c>
      <c r="AL93" s="68">
        <v>0</v>
      </c>
      <c r="AM93" s="68">
        <v>0</v>
      </c>
    </row>
    <row r="94" spans="1:39" x14ac:dyDescent="0.2">
      <c r="A94" s="57" t="s">
        <v>2082</v>
      </c>
      <c r="B94" s="47">
        <v>46173</v>
      </c>
      <c r="C94" s="108"/>
      <c r="D94" s="48" t="s">
        <v>1301</v>
      </c>
      <c r="E94" s="49" t="s">
        <v>219</v>
      </c>
      <c r="F94" s="49" t="s">
        <v>220</v>
      </c>
      <c r="G94" s="47" t="e">
        <v>#N/A</v>
      </c>
      <c r="H94" s="47" t="s">
        <v>22</v>
      </c>
      <c r="I94" s="9" t="s">
        <v>214</v>
      </c>
      <c r="J94" s="40" t="s">
        <v>1671</v>
      </c>
      <c r="K94" s="9" t="s">
        <v>221</v>
      </c>
      <c r="L94" s="9" t="s">
        <v>29</v>
      </c>
      <c r="M94" s="11"/>
      <c r="N94" s="11"/>
      <c r="O94" s="50">
        <v>8.2080000000000002</v>
      </c>
      <c r="R94" s="9">
        <f>IFERROR(VLOOKUP(E94,Sheet6!$A$2:$B$500,2,FALSE),0)</f>
        <v>0</v>
      </c>
      <c r="S94" s="41">
        <f>IFERROR(VLOOKUP(E94,Sheet6!$C$2:$D$35017,2,FALSE),0)</f>
        <v>0</v>
      </c>
      <c r="U94" s="9">
        <f>IFERROR(VLOOKUP(E94,Sheet2!$AA$1:$AB$975,2,FALSE),0)</f>
        <v>0</v>
      </c>
      <c r="V94" s="41">
        <f>IFERROR(VLOOKUP(E94,Sheet2!$AC$1:$AD$975,2,FALSE),0)</f>
        <v>0</v>
      </c>
      <c r="W94" s="42">
        <f>IFERROR(VLOOKUP(E94,Sheet2!$AE$1:$AF$975,2,FALSE),0)</f>
        <v>0</v>
      </c>
      <c r="X94" s="43">
        <f>IFERROR(VLOOKUP(E94,Sheet2!$AG$1:$AH$975,2,FALSE),0)</f>
        <v>0</v>
      </c>
      <c r="Z94" s="60">
        <f>IFERROR(VLOOKUP(F94,Sheet2!$AA$1:$AB$975,2,FALSE),0)</f>
        <v>0</v>
      </c>
      <c r="AA94" s="64">
        <f>IFERROR(VLOOKUP(F94,Sheet2!$AC$1:$AD$975,2,FALSE),0)</f>
        <v>0</v>
      </c>
      <c r="AB94" s="65">
        <f>IFERROR(VLOOKUP(F94,Sheet2!$AE$2:$AF$6539,2,FALSE),0)</f>
        <v>0</v>
      </c>
      <c r="AC94" s="43">
        <f>IFERROR(VLOOKUP(F94,Sheet2!$AG$2:$AH$6539,2,FALSE),0)</f>
        <v>0</v>
      </c>
      <c r="AE94" s="112">
        <v>11</v>
      </c>
      <c r="AF94" s="9">
        <v>0</v>
      </c>
      <c r="AG94" s="9">
        <v>0</v>
      </c>
      <c r="AH94" s="9">
        <v>0</v>
      </c>
      <c r="AI94" s="9">
        <v>0</v>
      </c>
      <c r="AJ94" s="9">
        <f t="shared" si="4"/>
        <v>11</v>
      </c>
      <c r="AK94" s="45">
        <f t="shared" si="5"/>
        <v>90.287999999999997</v>
      </c>
      <c r="AL94" s="68">
        <v>0</v>
      </c>
      <c r="AM94" s="68">
        <v>0</v>
      </c>
    </row>
    <row r="95" spans="1:39" x14ac:dyDescent="0.2">
      <c r="A95" s="57" t="s">
        <v>2082</v>
      </c>
      <c r="B95" s="47">
        <v>46173</v>
      </c>
      <c r="C95" s="108"/>
      <c r="D95" s="48" t="s">
        <v>1302</v>
      </c>
      <c r="E95" s="49" t="s">
        <v>222</v>
      </c>
      <c r="F95" s="49" t="s">
        <v>223</v>
      </c>
      <c r="G95" s="47" t="e">
        <v>#N/A</v>
      </c>
      <c r="H95" s="47" t="s">
        <v>22</v>
      </c>
      <c r="I95" s="9" t="s">
        <v>214</v>
      </c>
      <c r="J95" s="40" t="s">
        <v>1671</v>
      </c>
      <c r="K95" s="9" t="s">
        <v>221</v>
      </c>
      <c r="L95" s="9" t="s">
        <v>32</v>
      </c>
      <c r="M95" s="11"/>
      <c r="N95" s="11"/>
      <c r="O95" s="50">
        <v>8.2080000000000002</v>
      </c>
      <c r="R95" s="9">
        <f>IFERROR(VLOOKUP(E95,Sheet6!$A$2:$B$500,2,FALSE),0)</f>
        <v>0</v>
      </c>
      <c r="S95" s="41">
        <f>IFERROR(VLOOKUP(E95,Sheet6!$C$2:$D$35017,2,FALSE),0)</f>
        <v>0</v>
      </c>
      <c r="U95" s="9">
        <f>IFERROR(VLOOKUP(E95,Sheet2!$AA$1:$AB$975,2,FALSE),0)</f>
        <v>0</v>
      </c>
      <c r="V95" s="41">
        <f>IFERROR(VLOOKUP(E95,Sheet2!$AC$1:$AD$975,2,FALSE),0)</f>
        <v>0</v>
      </c>
      <c r="W95" s="42">
        <f>IFERROR(VLOOKUP(E95,Sheet2!$AE$1:$AF$975,2,FALSE),0)</f>
        <v>0</v>
      </c>
      <c r="X95" s="43">
        <f>IFERROR(VLOOKUP(E95,Sheet2!$AG$1:$AH$975,2,FALSE),0)</f>
        <v>0</v>
      </c>
      <c r="Z95" s="60">
        <f>IFERROR(VLOOKUP(F95,Sheet2!$AA$1:$AB$975,2,FALSE),0)</f>
        <v>0</v>
      </c>
      <c r="AA95" s="64">
        <f>IFERROR(VLOOKUP(F95,Sheet2!$AC$1:$AD$975,2,FALSE),0)</f>
        <v>0</v>
      </c>
      <c r="AB95" s="65">
        <f>IFERROR(VLOOKUP(F95,Sheet2!$AE$2:$AF$6539,2,FALSE),0)</f>
        <v>0</v>
      </c>
      <c r="AC95" s="43">
        <f>IFERROR(VLOOKUP(F95,Sheet2!$AG$2:$AH$6539,2,FALSE),0)</f>
        <v>0</v>
      </c>
      <c r="AE95" s="112">
        <v>12</v>
      </c>
      <c r="AF95" s="9">
        <v>0</v>
      </c>
      <c r="AG95" s="9">
        <v>0</v>
      </c>
      <c r="AH95" s="9">
        <v>0</v>
      </c>
      <c r="AI95" s="9">
        <v>0</v>
      </c>
      <c r="AJ95" s="9">
        <f t="shared" si="4"/>
        <v>12</v>
      </c>
      <c r="AK95" s="45">
        <f t="shared" si="5"/>
        <v>98.496000000000009</v>
      </c>
      <c r="AL95" s="68">
        <v>0</v>
      </c>
      <c r="AM95" s="68">
        <v>0</v>
      </c>
    </row>
    <row r="96" spans="1:39" x14ac:dyDescent="0.2">
      <c r="A96" s="57" t="s">
        <v>2082</v>
      </c>
      <c r="B96" s="47">
        <v>46173</v>
      </c>
      <c r="C96" s="48"/>
      <c r="D96" s="48" t="s">
        <v>1303</v>
      </c>
      <c r="E96" s="49" t="s">
        <v>224</v>
      </c>
      <c r="F96" s="49" t="s">
        <v>225</v>
      </c>
      <c r="G96" s="47" t="e">
        <v>#N/A</v>
      </c>
      <c r="H96" s="47" t="s">
        <v>22</v>
      </c>
      <c r="I96" s="9" t="s">
        <v>214</v>
      </c>
      <c r="J96" s="40" t="s">
        <v>1671</v>
      </c>
      <c r="K96" s="9" t="s">
        <v>221</v>
      </c>
      <c r="L96" s="9" t="s">
        <v>35</v>
      </c>
      <c r="M96" s="11"/>
      <c r="N96" s="11"/>
      <c r="O96" s="50">
        <v>8.2080000000000002</v>
      </c>
      <c r="R96" s="9">
        <f>IFERROR(VLOOKUP(E96,Sheet6!$A$2:$B$500,2,FALSE),0)</f>
        <v>0</v>
      </c>
      <c r="S96" s="41">
        <f>IFERROR(VLOOKUP(E96,Sheet6!$C$2:$D$35017,2,FALSE),0)</f>
        <v>0</v>
      </c>
      <c r="U96" s="9">
        <f>IFERROR(VLOOKUP(E96,Sheet2!$AA$1:$AB$975,2,FALSE),0)</f>
        <v>0</v>
      </c>
      <c r="V96" s="41">
        <f>IFERROR(VLOOKUP(E96,Sheet2!$AC$1:$AD$975,2,FALSE),0)</f>
        <v>0</v>
      </c>
      <c r="W96" s="42">
        <f>IFERROR(VLOOKUP(E96,Sheet2!$AE$1:$AF$975,2,FALSE),0)</f>
        <v>0</v>
      </c>
      <c r="X96" s="43">
        <f>IFERROR(VLOOKUP(E96,Sheet2!$AG$1:$AH$975,2,FALSE),0)</f>
        <v>0</v>
      </c>
      <c r="Z96" s="60">
        <f>IFERROR(VLOOKUP(F96,Sheet2!$AA$1:$AB$975,2,FALSE),0)</f>
        <v>0</v>
      </c>
      <c r="AA96" s="64">
        <f>IFERROR(VLOOKUP(F96,Sheet2!$AC$1:$AD$975,2,FALSE),0)</f>
        <v>0</v>
      </c>
      <c r="AB96" s="65">
        <f>IFERROR(VLOOKUP(F96,Sheet2!$AE$2:$AF$6539,2,FALSE),0)</f>
        <v>0</v>
      </c>
      <c r="AC96" s="43">
        <f>IFERROR(VLOOKUP(F96,Sheet2!$AG$2:$AH$6539,2,FALSE),0)</f>
        <v>0</v>
      </c>
      <c r="AE96" s="112">
        <v>9</v>
      </c>
      <c r="AF96" s="9">
        <v>6</v>
      </c>
      <c r="AG96" s="9">
        <v>0</v>
      </c>
      <c r="AH96" s="9">
        <v>0</v>
      </c>
      <c r="AI96" s="9">
        <v>6</v>
      </c>
      <c r="AJ96" s="9">
        <f t="shared" si="4"/>
        <v>15</v>
      </c>
      <c r="AK96" s="45">
        <f t="shared" si="5"/>
        <v>123.12</v>
      </c>
      <c r="AL96" s="68">
        <v>6</v>
      </c>
      <c r="AM96" s="68">
        <v>0</v>
      </c>
    </row>
    <row r="97" spans="1:39" x14ac:dyDescent="0.2">
      <c r="A97" s="57" t="s">
        <v>2082</v>
      </c>
      <c r="B97" s="47">
        <v>46173</v>
      </c>
      <c r="C97" s="48"/>
      <c r="D97" s="48" t="s">
        <v>1304</v>
      </c>
      <c r="E97" s="49" t="s">
        <v>226</v>
      </c>
      <c r="F97" s="49" t="s">
        <v>227</v>
      </c>
      <c r="G97" s="47" t="e">
        <v>#N/A</v>
      </c>
      <c r="H97" s="47" t="s">
        <v>22</v>
      </c>
      <c r="I97" s="9" t="s">
        <v>214</v>
      </c>
      <c r="J97" s="40" t="s">
        <v>1671</v>
      </c>
      <c r="K97" s="9" t="s">
        <v>228</v>
      </c>
      <c r="L97" s="9" t="s">
        <v>29</v>
      </c>
      <c r="M97" s="11"/>
      <c r="N97" s="11"/>
      <c r="O97" s="50">
        <v>8.2080000000000002</v>
      </c>
      <c r="R97" s="9">
        <f>IFERROR(VLOOKUP(E97,Sheet6!$A$2:$B$500,2,FALSE),0)</f>
        <v>0</v>
      </c>
      <c r="S97" s="41">
        <f>IFERROR(VLOOKUP(E97,Sheet6!$C$2:$D$35017,2,FALSE),0)</f>
        <v>0</v>
      </c>
      <c r="U97" s="9">
        <f>IFERROR(VLOOKUP(E97,Sheet2!$AA$1:$AB$975,2,FALSE),0)</f>
        <v>0</v>
      </c>
      <c r="V97" s="41">
        <f>IFERROR(VLOOKUP(E97,Sheet2!$AC$1:$AD$975,2,FALSE),0)</f>
        <v>0</v>
      </c>
      <c r="W97" s="42">
        <f>IFERROR(VLOOKUP(E97,Sheet2!$AE$1:$AF$975,2,FALSE),0)</f>
        <v>0</v>
      </c>
      <c r="X97" s="43">
        <f>IFERROR(VLOOKUP(E97,Sheet2!$AG$1:$AH$975,2,FALSE),0)</f>
        <v>0</v>
      </c>
      <c r="Z97" s="60">
        <f>IFERROR(VLOOKUP(F97,Sheet2!$AA$1:$AB$975,2,FALSE),0)</f>
        <v>1</v>
      </c>
      <c r="AA97" s="64">
        <f>IFERROR(VLOOKUP(F97,Sheet2!$AC$1:$AD$975,2,FALSE),0)</f>
        <v>19</v>
      </c>
      <c r="AB97" s="65">
        <f>IFERROR(VLOOKUP(F97,Sheet2!$AE$2:$AF$6539,2,FALSE),0)</f>
        <v>21</v>
      </c>
      <c r="AC97" s="43">
        <f>IFERROR(VLOOKUP(F97,Sheet2!$AG$2:$AH$6539,2,FALSE),0)</f>
        <v>1</v>
      </c>
      <c r="AE97" s="112">
        <v>11</v>
      </c>
      <c r="AF97" s="9">
        <v>21</v>
      </c>
      <c r="AG97" s="9">
        <v>0</v>
      </c>
      <c r="AH97" s="9">
        <v>0</v>
      </c>
      <c r="AI97" s="9">
        <v>21</v>
      </c>
      <c r="AJ97" s="9">
        <f t="shared" si="4"/>
        <v>32</v>
      </c>
      <c r="AK97" s="45">
        <f t="shared" si="5"/>
        <v>262.65600000000001</v>
      </c>
      <c r="AL97" s="68">
        <v>0</v>
      </c>
      <c r="AM97" s="68">
        <v>0</v>
      </c>
    </row>
    <row r="98" spans="1:39" x14ac:dyDescent="0.2">
      <c r="A98" s="57" t="s">
        <v>2082</v>
      </c>
      <c r="B98" s="47">
        <v>46173</v>
      </c>
      <c r="C98" s="48"/>
      <c r="D98" s="48" t="s">
        <v>1305</v>
      </c>
      <c r="E98" s="49" t="s">
        <v>229</v>
      </c>
      <c r="F98" s="49" t="s">
        <v>230</v>
      </c>
      <c r="G98" s="47" t="e">
        <v>#N/A</v>
      </c>
      <c r="H98" s="47" t="s">
        <v>22</v>
      </c>
      <c r="I98" s="9" t="s">
        <v>214</v>
      </c>
      <c r="J98" s="40" t="s">
        <v>1671</v>
      </c>
      <c r="K98" s="9" t="s">
        <v>187</v>
      </c>
      <c r="L98" s="9" t="s">
        <v>29</v>
      </c>
      <c r="M98" s="11"/>
      <c r="N98" s="11"/>
      <c r="O98" s="50">
        <v>8.2080000000000002</v>
      </c>
      <c r="R98" s="9">
        <f>IFERROR(VLOOKUP(E98,Sheet6!$A$2:$B$500,2,FALSE),0)</f>
        <v>0</v>
      </c>
      <c r="S98" s="41">
        <f>IFERROR(VLOOKUP(E98,Sheet6!$C$2:$D$35017,2,FALSE),0)</f>
        <v>0</v>
      </c>
      <c r="U98" s="9">
        <f>IFERROR(VLOOKUP(E98,Sheet2!$AA$1:$AB$975,2,FALSE),0)</f>
        <v>0</v>
      </c>
      <c r="V98" s="41">
        <f>IFERROR(VLOOKUP(E98,Sheet2!$AC$1:$AD$975,2,FALSE),0)</f>
        <v>0</v>
      </c>
      <c r="W98" s="42">
        <f>IFERROR(VLOOKUP(E98,Sheet2!$AE$1:$AF$975,2,FALSE),0)</f>
        <v>0</v>
      </c>
      <c r="X98" s="43">
        <f>IFERROR(VLOOKUP(E98,Sheet2!$AG$1:$AH$975,2,FALSE),0)</f>
        <v>0</v>
      </c>
      <c r="Z98" s="60">
        <f>IFERROR(VLOOKUP(F98,Sheet2!$AA$1:$AB$975,2,FALSE),0)</f>
        <v>1</v>
      </c>
      <c r="AA98" s="64">
        <f>IFERROR(VLOOKUP(F98,Sheet2!$AC$1:$AD$975,2,FALSE),0)</f>
        <v>19</v>
      </c>
      <c r="AB98" s="65">
        <f>IFERROR(VLOOKUP(F98,Sheet2!$AE$2:$AF$6539,2,FALSE),0)</f>
        <v>8</v>
      </c>
      <c r="AC98" s="43">
        <f>IFERROR(VLOOKUP(F98,Sheet2!$AG$2:$AH$6539,2,FALSE),0)</f>
        <v>1</v>
      </c>
      <c r="AE98" s="112">
        <v>41</v>
      </c>
      <c r="AF98" s="9">
        <v>16</v>
      </c>
      <c r="AG98" s="9">
        <v>0</v>
      </c>
      <c r="AH98" s="9">
        <v>0</v>
      </c>
      <c r="AI98" s="9">
        <v>16</v>
      </c>
      <c r="AJ98" s="9">
        <f t="shared" si="4"/>
        <v>57</v>
      </c>
      <c r="AK98" s="45">
        <f t="shared" si="5"/>
        <v>467.85599999999999</v>
      </c>
      <c r="AL98" s="68">
        <v>0</v>
      </c>
      <c r="AM98" s="68">
        <v>0</v>
      </c>
    </row>
    <row r="99" spans="1:39" x14ac:dyDescent="0.2">
      <c r="A99" s="57" t="s">
        <v>2082</v>
      </c>
      <c r="B99" s="47">
        <v>46173</v>
      </c>
      <c r="C99" s="48"/>
      <c r="D99" s="48" t="s">
        <v>1306</v>
      </c>
      <c r="E99" s="49" t="s">
        <v>231</v>
      </c>
      <c r="F99" s="49" t="s">
        <v>232</v>
      </c>
      <c r="G99" s="47" t="e">
        <v>#N/A</v>
      </c>
      <c r="H99" s="47" t="s">
        <v>22</v>
      </c>
      <c r="I99" s="9" t="s">
        <v>214</v>
      </c>
      <c r="J99" s="40" t="s">
        <v>1671</v>
      </c>
      <c r="K99" s="9" t="s">
        <v>187</v>
      </c>
      <c r="L99" s="9" t="s">
        <v>32</v>
      </c>
      <c r="M99" s="11"/>
      <c r="N99" s="11"/>
      <c r="O99" s="50">
        <v>8.2080000000000002</v>
      </c>
      <c r="R99" s="9">
        <f>IFERROR(VLOOKUP(E99,Sheet6!$A$2:$B$500,2,FALSE),0)</f>
        <v>3</v>
      </c>
      <c r="S99" s="41">
        <f>IFERROR(VLOOKUP(E99,Sheet6!$C$2:$D$35017,2,FALSE),0)</f>
        <v>48.45</v>
      </c>
      <c r="U99" s="9">
        <f>IFERROR(VLOOKUP(E99,Sheet2!$AA$1:$AB$975,2,FALSE),0)</f>
        <v>0</v>
      </c>
      <c r="V99" s="41">
        <f>IFERROR(VLOOKUP(E99,Sheet2!$AC$1:$AD$975,2,FALSE),0)</f>
        <v>0</v>
      </c>
      <c r="W99" s="42">
        <f>IFERROR(VLOOKUP(E99,Sheet2!$AE$1:$AF$975,2,FALSE),0)</f>
        <v>0</v>
      </c>
      <c r="X99" s="43">
        <f>IFERROR(VLOOKUP(E99,Sheet2!$AG$1:$AH$975,2,FALSE),0)</f>
        <v>0</v>
      </c>
      <c r="Z99" s="60">
        <f>IFERROR(VLOOKUP(F99,Sheet2!$AA$1:$AB$975,2,FALSE),0)</f>
        <v>0</v>
      </c>
      <c r="AA99" s="64">
        <f>IFERROR(VLOOKUP(F99,Sheet2!$AC$1:$AD$975,2,FALSE),0)</f>
        <v>0</v>
      </c>
      <c r="AB99" s="65">
        <f>IFERROR(VLOOKUP(F99,Sheet2!$AE$2:$AF$6539,2,FALSE),0)</f>
        <v>0</v>
      </c>
      <c r="AC99" s="43">
        <f>IFERROR(VLOOKUP(F99,Sheet2!$AG$2:$AH$6539,2,FALSE),0)</f>
        <v>0</v>
      </c>
      <c r="AE99" s="112">
        <v>12</v>
      </c>
      <c r="AF99" s="9">
        <v>18</v>
      </c>
      <c r="AG99" s="9">
        <v>0</v>
      </c>
      <c r="AH99" s="9">
        <v>0</v>
      </c>
      <c r="AI99" s="9">
        <v>18</v>
      </c>
      <c r="AJ99" s="9">
        <f t="shared" si="4"/>
        <v>30</v>
      </c>
      <c r="AK99" s="45">
        <f t="shared" si="5"/>
        <v>246.24</v>
      </c>
      <c r="AL99" s="68">
        <v>0</v>
      </c>
      <c r="AM99" s="68">
        <v>6</v>
      </c>
    </row>
    <row r="100" spans="1:39" x14ac:dyDescent="0.2">
      <c r="A100" s="57" t="s">
        <v>2082</v>
      </c>
      <c r="B100" s="47">
        <v>46173</v>
      </c>
      <c r="C100" s="108"/>
      <c r="D100" s="48" t="s">
        <v>1307</v>
      </c>
      <c r="E100" s="49" t="s">
        <v>233</v>
      </c>
      <c r="F100" s="49" t="s">
        <v>234</v>
      </c>
      <c r="G100" s="47" t="e">
        <v>#N/A</v>
      </c>
      <c r="H100" s="47" t="s">
        <v>22</v>
      </c>
      <c r="I100" s="9" t="s">
        <v>214</v>
      </c>
      <c r="J100" s="40" t="s">
        <v>1671</v>
      </c>
      <c r="K100" s="9" t="s">
        <v>187</v>
      </c>
      <c r="L100" s="9" t="s">
        <v>35</v>
      </c>
      <c r="M100" s="11"/>
      <c r="N100" s="11"/>
      <c r="O100" s="50">
        <v>8.2080000000000002</v>
      </c>
      <c r="R100" s="9">
        <f>IFERROR(VLOOKUP(E100,Sheet6!$A$2:$B$500,2,FALSE),0)</f>
        <v>0</v>
      </c>
      <c r="S100" s="41">
        <f>IFERROR(VLOOKUP(E100,Sheet6!$C$2:$D$35017,2,FALSE),0)</f>
        <v>0</v>
      </c>
      <c r="U100" s="9">
        <f>IFERROR(VLOOKUP(E100,Sheet2!$AA$1:$AB$975,2,FALSE),0)</f>
        <v>0</v>
      </c>
      <c r="V100" s="41">
        <f>IFERROR(VLOOKUP(E100,Sheet2!$AC$1:$AD$975,2,FALSE),0)</f>
        <v>0</v>
      </c>
      <c r="W100" s="42">
        <f>IFERROR(VLOOKUP(E100,Sheet2!$AE$1:$AF$975,2,FALSE),0)</f>
        <v>0</v>
      </c>
      <c r="X100" s="43">
        <f>IFERROR(VLOOKUP(E100,Sheet2!$AG$1:$AH$975,2,FALSE),0)</f>
        <v>0</v>
      </c>
      <c r="Z100" s="60">
        <f>IFERROR(VLOOKUP(F100,Sheet2!$AA$1:$AB$975,2,FALSE),0)</f>
        <v>0</v>
      </c>
      <c r="AA100" s="64">
        <f>IFERROR(VLOOKUP(F100,Sheet2!$AC$1:$AD$975,2,FALSE),0)</f>
        <v>0</v>
      </c>
      <c r="AB100" s="65">
        <f>IFERROR(VLOOKUP(F100,Sheet2!$AE$2:$AF$6539,2,FALSE),0)</f>
        <v>0</v>
      </c>
      <c r="AC100" s="43">
        <f>IFERROR(VLOOKUP(F100,Sheet2!$AG$2:$AH$6539,2,FALSE),0)</f>
        <v>0</v>
      </c>
      <c r="AE100" s="112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f t="shared" si="4"/>
        <v>0</v>
      </c>
      <c r="AK100" s="45">
        <f t="shared" si="5"/>
        <v>0</v>
      </c>
      <c r="AL100" s="68">
        <v>0</v>
      </c>
      <c r="AM100" s="68">
        <v>0</v>
      </c>
    </row>
    <row r="101" spans="1:39" x14ac:dyDescent="0.2">
      <c r="A101" s="57" t="s">
        <v>2082</v>
      </c>
      <c r="B101" s="47">
        <v>46173</v>
      </c>
      <c r="C101" s="48"/>
      <c r="D101" s="48" t="s">
        <v>1308</v>
      </c>
      <c r="E101" s="49" t="s">
        <v>235</v>
      </c>
      <c r="F101" s="49" t="s">
        <v>236</v>
      </c>
      <c r="G101" s="47" t="e">
        <v>#N/A</v>
      </c>
      <c r="H101" s="47" t="s">
        <v>22</v>
      </c>
      <c r="I101" s="9" t="s">
        <v>214</v>
      </c>
      <c r="J101" s="40" t="s">
        <v>1671</v>
      </c>
      <c r="K101" s="9" t="s">
        <v>237</v>
      </c>
      <c r="L101" s="9" t="s">
        <v>29</v>
      </c>
      <c r="M101" s="11"/>
      <c r="N101" s="11"/>
      <c r="O101" s="50">
        <v>8.2080000000000002</v>
      </c>
      <c r="R101" s="9">
        <f>IFERROR(VLOOKUP(E101,Sheet6!$A$2:$B$500,2,FALSE),0)</f>
        <v>0</v>
      </c>
      <c r="S101" s="41">
        <f>IFERROR(VLOOKUP(E101,Sheet6!$C$2:$D$35017,2,FALSE),0)</f>
        <v>0</v>
      </c>
      <c r="U101" s="9">
        <f>IFERROR(VLOOKUP(E101,Sheet2!$AA$1:$AB$975,2,FALSE),0)</f>
        <v>0</v>
      </c>
      <c r="V101" s="41">
        <f>IFERROR(VLOOKUP(E101,Sheet2!$AC$1:$AD$975,2,FALSE),0)</f>
        <v>0</v>
      </c>
      <c r="W101" s="42">
        <f>IFERROR(VLOOKUP(E101,Sheet2!$AE$1:$AF$975,2,FALSE),0)</f>
        <v>0</v>
      </c>
      <c r="X101" s="43">
        <f>IFERROR(VLOOKUP(E101,Sheet2!$AG$1:$AH$975,2,FALSE),0)</f>
        <v>0</v>
      </c>
      <c r="Z101" s="60">
        <f>IFERROR(VLOOKUP(F101,Sheet2!$AA$1:$AB$975,2,FALSE),0)</f>
        <v>0</v>
      </c>
      <c r="AA101" s="64">
        <f>IFERROR(VLOOKUP(F101,Sheet2!$AC$1:$AD$975,2,FALSE),0)</f>
        <v>0</v>
      </c>
      <c r="AB101" s="65">
        <f>IFERROR(VLOOKUP(F101,Sheet2!$AE$2:$AF$6539,2,FALSE),0)</f>
        <v>0</v>
      </c>
      <c r="AC101" s="43">
        <f>IFERROR(VLOOKUP(F101,Sheet2!$AG$2:$AH$6539,2,FALSE),0)</f>
        <v>0</v>
      </c>
      <c r="AE101" s="112">
        <v>30</v>
      </c>
      <c r="AF101" s="9">
        <v>0</v>
      </c>
      <c r="AG101" s="9">
        <v>0</v>
      </c>
      <c r="AH101" s="9">
        <v>0</v>
      </c>
      <c r="AI101" s="9">
        <v>0</v>
      </c>
      <c r="AJ101" s="9">
        <f t="shared" si="4"/>
        <v>30</v>
      </c>
      <c r="AK101" s="45">
        <f t="shared" si="5"/>
        <v>246.24</v>
      </c>
      <c r="AL101" s="68">
        <v>0</v>
      </c>
      <c r="AM101" s="68">
        <v>0</v>
      </c>
    </row>
    <row r="102" spans="1:39" x14ac:dyDescent="0.2">
      <c r="A102" s="57" t="s">
        <v>2082</v>
      </c>
      <c r="B102" s="47">
        <v>46173</v>
      </c>
      <c r="C102" s="108"/>
      <c r="D102" s="48" t="s">
        <v>1309</v>
      </c>
      <c r="E102" s="49" t="s">
        <v>238</v>
      </c>
      <c r="F102" s="49" t="s">
        <v>239</v>
      </c>
      <c r="G102" s="47" t="e">
        <v>#N/A</v>
      </c>
      <c r="H102" s="47" t="s">
        <v>22</v>
      </c>
      <c r="I102" s="9" t="s">
        <v>240</v>
      </c>
      <c r="J102" s="40" t="s">
        <v>1734</v>
      </c>
      <c r="K102" s="9" t="s">
        <v>189</v>
      </c>
      <c r="L102" s="9" t="s">
        <v>29</v>
      </c>
      <c r="M102" s="11"/>
      <c r="N102" s="11"/>
      <c r="O102" s="50">
        <v>8.64</v>
      </c>
      <c r="R102" s="9">
        <f>IFERROR(VLOOKUP(E102,Sheet6!$A$2:$B$500,2,FALSE),0)</f>
        <v>0</v>
      </c>
      <c r="S102" s="41">
        <f>IFERROR(VLOOKUP(E102,Sheet6!$C$2:$D$35017,2,FALSE),0)</f>
        <v>0</v>
      </c>
      <c r="U102" s="9">
        <f>IFERROR(VLOOKUP(E102,Sheet2!$AA$1:$AB$975,2,FALSE),0)</f>
        <v>0</v>
      </c>
      <c r="V102" s="41">
        <f>IFERROR(VLOOKUP(E102,Sheet2!$AC$1:$AD$975,2,FALSE),0)</f>
        <v>0</v>
      </c>
      <c r="W102" s="42">
        <f>IFERROR(VLOOKUP(E102,Sheet2!$AE$1:$AF$975,2,FALSE),0)</f>
        <v>0</v>
      </c>
      <c r="X102" s="43">
        <f>IFERROR(VLOOKUP(E102,Sheet2!$AG$1:$AH$975,2,FALSE),0)</f>
        <v>0</v>
      </c>
      <c r="Z102" s="60">
        <f>IFERROR(VLOOKUP(F102,Sheet2!$AA$1:$AB$975,2,FALSE),0)</f>
        <v>0</v>
      </c>
      <c r="AA102" s="64">
        <f>IFERROR(VLOOKUP(F102,Sheet2!$AC$1:$AD$975,2,FALSE),0)</f>
        <v>0</v>
      </c>
      <c r="AB102" s="65">
        <f>IFERROR(VLOOKUP(F102,Sheet2!$AE$2:$AF$6539,2,FALSE),0)</f>
        <v>0</v>
      </c>
      <c r="AC102" s="43">
        <f>IFERROR(VLOOKUP(F102,Sheet2!$AG$2:$AH$6539,2,FALSE),0)</f>
        <v>0</v>
      </c>
      <c r="AE102" s="112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f t="shared" si="4"/>
        <v>0</v>
      </c>
      <c r="AK102" s="45">
        <f t="shared" si="5"/>
        <v>0</v>
      </c>
      <c r="AL102" s="68">
        <v>0</v>
      </c>
      <c r="AM102" s="68">
        <v>0</v>
      </c>
    </row>
    <row r="103" spans="1:39" x14ac:dyDescent="0.2">
      <c r="A103" s="57" t="s">
        <v>2082</v>
      </c>
      <c r="B103" s="47">
        <v>46173</v>
      </c>
      <c r="C103" s="48"/>
      <c r="D103" s="48" t="s">
        <v>1310</v>
      </c>
      <c r="E103" s="49" t="s">
        <v>241</v>
      </c>
      <c r="F103" s="49" t="s">
        <v>242</v>
      </c>
      <c r="G103" s="47" t="e">
        <v>#N/A</v>
      </c>
      <c r="H103" s="47" t="s">
        <v>22</v>
      </c>
      <c r="I103" s="9" t="s">
        <v>240</v>
      </c>
      <c r="J103" s="40" t="s">
        <v>1734</v>
      </c>
      <c r="K103" s="9" t="s">
        <v>189</v>
      </c>
      <c r="L103" s="9" t="s">
        <v>32</v>
      </c>
      <c r="M103" s="11"/>
      <c r="N103" s="11"/>
      <c r="O103" s="50">
        <v>8.64</v>
      </c>
      <c r="R103" s="9">
        <f>IFERROR(VLOOKUP(E103,Sheet6!$A$2:$B$500,2,FALSE),0)</f>
        <v>0</v>
      </c>
      <c r="S103" s="41">
        <f>IFERROR(VLOOKUP(E103,Sheet6!$C$2:$D$35017,2,FALSE),0)</f>
        <v>0</v>
      </c>
      <c r="U103" s="9">
        <f>IFERROR(VLOOKUP(E103,Sheet2!$AA$1:$AB$975,2,FALSE),0)</f>
        <v>0</v>
      </c>
      <c r="V103" s="41">
        <f>IFERROR(VLOOKUP(E103,Sheet2!$AC$1:$AD$975,2,FALSE),0)</f>
        <v>0</v>
      </c>
      <c r="W103" s="42">
        <f>IFERROR(VLOOKUP(E103,Sheet2!$AE$1:$AF$975,2,FALSE),0)</f>
        <v>0</v>
      </c>
      <c r="X103" s="43">
        <f>IFERROR(VLOOKUP(E103,Sheet2!$AG$1:$AH$975,2,FALSE),0)</f>
        <v>0</v>
      </c>
      <c r="Z103" s="60">
        <f>IFERROR(VLOOKUP(F103,Sheet2!$AA$1:$AB$975,2,FALSE),0)</f>
        <v>1</v>
      </c>
      <c r="AA103" s="64">
        <f>IFERROR(VLOOKUP(F103,Sheet2!$AC$1:$AD$975,2,FALSE),0)</f>
        <v>19.989999999999998</v>
      </c>
      <c r="AB103" s="65">
        <f>IFERROR(VLOOKUP(F103,Sheet2!$AE$2:$AF$6539,2,FALSE),0)</f>
        <v>20</v>
      </c>
      <c r="AC103" s="43">
        <f>IFERROR(VLOOKUP(F103,Sheet2!$AG$2:$AH$6539,2,FALSE),0)</f>
        <v>1</v>
      </c>
      <c r="AE103" s="112">
        <v>49</v>
      </c>
      <c r="AF103" s="9">
        <v>27</v>
      </c>
      <c r="AG103" s="9">
        <v>0</v>
      </c>
      <c r="AH103" s="9">
        <v>1</v>
      </c>
      <c r="AI103" s="9">
        <v>28</v>
      </c>
      <c r="AJ103" s="9">
        <f t="shared" si="4"/>
        <v>77</v>
      </c>
      <c r="AK103" s="45">
        <f t="shared" si="5"/>
        <v>665.28000000000009</v>
      </c>
      <c r="AL103" s="68">
        <v>0</v>
      </c>
      <c r="AM103" s="68">
        <v>0</v>
      </c>
    </row>
    <row r="104" spans="1:39" x14ac:dyDescent="0.2">
      <c r="A104" s="57" t="s">
        <v>2082</v>
      </c>
      <c r="B104" s="47">
        <v>46173</v>
      </c>
      <c r="C104" s="48"/>
      <c r="D104" s="48" t="s">
        <v>1311</v>
      </c>
      <c r="E104" s="49" t="s">
        <v>243</v>
      </c>
      <c r="F104" s="49" t="s">
        <v>244</v>
      </c>
      <c r="G104" s="47" t="e">
        <v>#N/A</v>
      </c>
      <c r="H104" s="47" t="s">
        <v>22</v>
      </c>
      <c r="I104" s="9" t="s">
        <v>240</v>
      </c>
      <c r="J104" s="40" t="s">
        <v>1734</v>
      </c>
      <c r="K104" s="9" t="s">
        <v>189</v>
      </c>
      <c r="L104" s="9" t="s">
        <v>35</v>
      </c>
      <c r="M104" s="11"/>
      <c r="N104" s="11"/>
      <c r="O104" s="50">
        <v>8.64</v>
      </c>
      <c r="R104" s="9">
        <f>IFERROR(VLOOKUP(E104,Sheet6!$A$2:$B$500,2,FALSE),0)</f>
        <v>0</v>
      </c>
      <c r="S104" s="41">
        <f>IFERROR(VLOOKUP(E104,Sheet6!$C$2:$D$35017,2,FALSE),0)</f>
        <v>0</v>
      </c>
      <c r="U104" s="9">
        <f>IFERROR(VLOOKUP(E104,Sheet2!$AA$1:$AB$975,2,FALSE),0)</f>
        <v>11</v>
      </c>
      <c r="V104" s="41">
        <f>IFERROR(VLOOKUP(E104,Sheet2!$AC$1:$AD$975,2,FALSE),0)</f>
        <v>219.89</v>
      </c>
      <c r="W104" s="42">
        <f>IFERROR(VLOOKUP(E104,Sheet2!$AE$1:$AF$975,2,FALSE),0)</f>
        <v>18</v>
      </c>
      <c r="X104" s="43">
        <f>IFERROR(VLOOKUP(E104,Sheet2!$AG$1:$AH$975,2,FALSE),0)</f>
        <v>0.96879999999999999</v>
      </c>
      <c r="Z104" s="60">
        <f>IFERROR(VLOOKUP(F104,Sheet2!$AA$1:$AB$975,2,FALSE),0)</f>
        <v>0</v>
      </c>
      <c r="AA104" s="64">
        <f>IFERROR(VLOOKUP(F104,Sheet2!$AC$1:$AD$975,2,FALSE),0)</f>
        <v>0</v>
      </c>
      <c r="AB104" s="65">
        <f>IFERROR(VLOOKUP(F104,Sheet2!$AE$2:$AF$6539,2,FALSE),0)</f>
        <v>0</v>
      </c>
      <c r="AC104" s="43">
        <f>IFERROR(VLOOKUP(F104,Sheet2!$AG$2:$AH$6539,2,FALSE),0)</f>
        <v>0</v>
      </c>
      <c r="AE104" s="112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f t="shared" si="4"/>
        <v>0</v>
      </c>
      <c r="AK104" s="45">
        <f t="shared" si="5"/>
        <v>0</v>
      </c>
      <c r="AL104" s="68">
        <v>6</v>
      </c>
      <c r="AM104" s="68">
        <v>0</v>
      </c>
    </row>
    <row r="105" spans="1:39" x14ac:dyDescent="0.2">
      <c r="A105" s="57" t="s">
        <v>2082</v>
      </c>
      <c r="B105" s="47">
        <v>46173</v>
      </c>
      <c r="C105" s="108"/>
      <c r="D105" s="48" t="s">
        <v>1312</v>
      </c>
      <c r="E105" s="49" t="s">
        <v>245</v>
      </c>
      <c r="F105" s="49" t="s">
        <v>246</v>
      </c>
      <c r="G105" s="47" t="e">
        <v>#N/A</v>
      </c>
      <c r="H105" s="47" t="s">
        <v>22</v>
      </c>
      <c r="I105" s="40" t="s">
        <v>247</v>
      </c>
      <c r="J105" s="40" t="s">
        <v>1107</v>
      </c>
      <c r="K105" s="40" t="s">
        <v>248</v>
      </c>
      <c r="L105" s="40" t="s">
        <v>29</v>
      </c>
      <c r="M105" s="11"/>
      <c r="N105" s="11"/>
      <c r="O105" s="50">
        <v>9.072000000000001</v>
      </c>
      <c r="R105" s="9">
        <f>IFERROR(VLOOKUP(E105,Sheet6!$A$2:$B$500,2,FALSE),0)</f>
        <v>2</v>
      </c>
      <c r="S105" s="41">
        <f>IFERROR(VLOOKUP(E105,Sheet6!$C$2:$D$35017,2,FALSE),0)</f>
        <v>42</v>
      </c>
      <c r="U105" s="9">
        <f>IFERROR(VLOOKUP(E105,Sheet2!$AA$1:$AB$975,2,FALSE),0)</f>
        <v>0</v>
      </c>
      <c r="V105" s="41">
        <f>IFERROR(VLOOKUP(E105,Sheet2!$AC$1:$AD$975,2,FALSE),0)</f>
        <v>0</v>
      </c>
      <c r="W105" s="42">
        <f>IFERROR(VLOOKUP(E105,Sheet2!$AE$1:$AF$975,2,FALSE),0)</f>
        <v>0</v>
      </c>
      <c r="X105" s="43">
        <f>IFERROR(VLOOKUP(E105,Sheet2!$AG$1:$AH$975,2,FALSE),0)</f>
        <v>0</v>
      </c>
      <c r="Z105" s="60">
        <f>IFERROR(VLOOKUP(F105,Sheet2!$AA$1:$AB$975,2,FALSE),0)</f>
        <v>0</v>
      </c>
      <c r="AA105" s="64">
        <f>IFERROR(VLOOKUP(F105,Sheet2!$AC$1:$AD$975,2,FALSE),0)</f>
        <v>0</v>
      </c>
      <c r="AB105" s="65">
        <f>IFERROR(VLOOKUP(F105,Sheet2!$AE$2:$AF$6539,2,FALSE),0)</f>
        <v>0</v>
      </c>
      <c r="AC105" s="43">
        <f>IFERROR(VLOOKUP(F105,Sheet2!$AG$2:$AH$6539,2,FALSE),0)</f>
        <v>0</v>
      </c>
      <c r="AE105" s="112">
        <v>4</v>
      </c>
      <c r="AF105" s="9">
        <v>0</v>
      </c>
      <c r="AG105" s="9">
        <v>0</v>
      </c>
      <c r="AH105" s="9">
        <v>0</v>
      </c>
      <c r="AI105" s="9">
        <v>0</v>
      </c>
      <c r="AJ105" s="9">
        <f t="shared" si="4"/>
        <v>4</v>
      </c>
      <c r="AK105" s="45">
        <f t="shared" si="5"/>
        <v>36.288000000000004</v>
      </c>
      <c r="AL105" s="68">
        <v>0</v>
      </c>
      <c r="AM105" s="68">
        <v>0</v>
      </c>
    </row>
    <row r="106" spans="1:39" x14ac:dyDescent="0.2">
      <c r="A106" s="57" t="s">
        <v>2082</v>
      </c>
      <c r="B106" s="47">
        <v>46173</v>
      </c>
      <c r="C106" s="48"/>
      <c r="D106" s="48" t="s">
        <v>1313</v>
      </c>
      <c r="E106" s="49" t="s">
        <v>249</v>
      </c>
      <c r="F106" s="49" t="s">
        <v>250</v>
      </c>
      <c r="G106" s="47" t="e">
        <v>#N/A</v>
      </c>
      <c r="H106" s="47" t="s">
        <v>22</v>
      </c>
      <c r="I106" s="40" t="s">
        <v>247</v>
      </c>
      <c r="J106" s="40" t="s">
        <v>1107</v>
      </c>
      <c r="K106" s="40" t="s">
        <v>248</v>
      </c>
      <c r="L106" s="40" t="s">
        <v>32</v>
      </c>
      <c r="M106" s="11"/>
      <c r="N106" s="11"/>
      <c r="O106" s="50">
        <v>9.072000000000001</v>
      </c>
      <c r="R106" s="9">
        <f>IFERROR(VLOOKUP(E106,Sheet6!$A$2:$B$500,2,FALSE),0)</f>
        <v>0</v>
      </c>
      <c r="S106" s="41">
        <f>IFERROR(VLOOKUP(E106,Sheet6!$C$2:$D$35017,2,FALSE),0)</f>
        <v>0</v>
      </c>
      <c r="U106" s="9">
        <f>IFERROR(VLOOKUP(E106,Sheet2!$AA$1:$AB$975,2,FALSE),0)</f>
        <v>0</v>
      </c>
      <c r="V106" s="41">
        <f>IFERROR(VLOOKUP(E106,Sheet2!$AC$1:$AD$975,2,FALSE),0)</f>
        <v>0</v>
      </c>
      <c r="W106" s="42">
        <f>IFERROR(VLOOKUP(E106,Sheet2!$AE$1:$AF$975,2,FALSE),0)</f>
        <v>0</v>
      </c>
      <c r="X106" s="43">
        <f>IFERROR(VLOOKUP(E106,Sheet2!$AG$1:$AH$975,2,FALSE),0)</f>
        <v>0</v>
      </c>
      <c r="Z106" s="60">
        <f>IFERROR(VLOOKUP(F106,Sheet2!$AA$1:$AB$975,2,FALSE),0)</f>
        <v>101</v>
      </c>
      <c r="AA106" s="64">
        <f>IFERROR(VLOOKUP(F106,Sheet2!$AC$1:$AD$975,2,FALSE),0)</f>
        <v>2119.9899999999998</v>
      </c>
      <c r="AB106" s="65">
        <f>IFERROR(VLOOKUP(F106,Sheet2!$AE$2:$AF$6539,2,FALSE),0)</f>
        <v>332</v>
      </c>
      <c r="AC106" s="43">
        <f>IFERROR(VLOOKUP(F106,Sheet2!$AG$2:$AH$6539,2,FALSE),0)</f>
        <v>0.97689999999999999</v>
      </c>
      <c r="AE106" s="112">
        <v>97</v>
      </c>
      <c r="AF106" s="9">
        <v>37</v>
      </c>
      <c r="AG106" s="9">
        <v>0</v>
      </c>
      <c r="AH106" s="9">
        <v>6</v>
      </c>
      <c r="AI106" s="9">
        <v>43</v>
      </c>
      <c r="AJ106" s="9">
        <f t="shared" si="4"/>
        <v>140</v>
      </c>
      <c r="AK106" s="45">
        <f t="shared" si="5"/>
        <v>1270.0800000000002</v>
      </c>
      <c r="AL106" s="68">
        <v>90</v>
      </c>
      <c r="AM106" s="68">
        <v>150</v>
      </c>
    </row>
    <row r="107" spans="1:39" x14ac:dyDescent="0.2">
      <c r="A107" s="57" t="s">
        <v>2082</v>
      </c>
      <c r="B107" s="47">
        <v>46173</v>
      </c>
      <c r="C107" s="48"/>
      <c r="D107" s="48" t="s">
        <v>1314</v>
      </c>
      <c r="E107" s="49" t="s">
        <v>251</v>
      </c>
      <c r="F107" s="49" t="s">
        <v>252</v>
      </c>
      <c r="G107" s="47" t="e">
        <v>#N/A</v>
      </c>
      <c r="H107" s="47" t="s">
        <v>94</v>
      </c>
      <c r="I107" s="40" t="s">
        <v>247</v>
      </c>
      <c r="J107" s="40" t="s">
        <v>1107</v>
      </c>
      <c r="K107" s="40" t="s">
        <v>248</v>
      </c>
      <c r="L107" s="40" t="s">
        <v>35</v>
      </c>
      <c r="M107" s="11"/>
      <c r="N107" s="11"/>
      <c r="O107" s="50">
        <v>9.072000000000001</v>
      </c>
      <c r="R107" s="9">
        <f>IFERROR(VLOOKUP(E107,Sheet6!$A$2:$B$500,2,FALSE),0)</f>
        <v>5</v>
      </c>
      <c r="S107" s="41">
        <f>IFERROR(VLOOKUP(E107,Sheet6!$C$2:$D$35017,2,FALSE),0)</f>
        <v>105</v>
      </c>
      <c r="U107" s="9">
        <f>IFERROR(VLOOKUP(E107,Sheet2!$AA$1:$AB$975,2,FALSE),0)</f>
        <v>0</v>
      </c>
      <c r="V107" s="41">
        <f>IFERROR(VLOOKUP(E107,Sheet2!$AC$1:$AD$975,2,FALSE),0)</f>
        <v>0</v>
      </c>
      <c r="W107" s="42">
        <f>IFERROR(VLOOKUP(E107,Sheet2!$AE$1:$AF$975,2,FALSE),0)</f>
        <v>0</v>
      </c>
      <c r="X107" s="43">
        <f>IFERROR(VLOOKUP(E107,Sheet2!$AG$1:$AH$975,2,FALSE),0)</f>
        <v>0</v>
      </c>
      <c r="Z107" s="60">
        <f>IFERROR(VLOOKUP(F107,Sheet2!$AA$1:$AB$975,2,FALSE),0)</f>
        <v>39</v>
      </c>
      <c r="AA107" s="64">
        <f>IFERROR(VLOOKUP(F107,Sheet2!$AC$1:$AD$975,2,FALSE),0)</f>
        <v>818.61</v>
      </c>
      <c r="AB107" s="65">
        <f>IFERROR(VLOOKUP(F107,Sheet2!$AE$2:$AF$6539,2,FALSE),0)</f>
        <v>168</v>
      </c>
      <c r="AC107" s="43">
        <f>IFERROR(VLOOKUP(F107,Sheet2!$AG$2:$AH$6539,2,FALSE),0)</f>
        <v>0.6905</v>
      </c>
      <c r="AE107" s="112">
        <v>109</v>
      </c>
      <c r="AF107" s="9">
        <v>16</v>
      </c>
      <c r="AG107" s="9">
        <v>0</v>
      </c>
      <c r="AH107" s="9">
        <v>0</v>
      </c>
      <c r="AI107" s="9">
        <v>16</v>
      </c>
      <c r="AJ107" s="9">
        <f t="shared" si="4"/>
        <v>125</v>
      </c>
      <c r="AK107" s="45">
        <f t="shared" si="5"/>
        <v>1134.0000000000002</v>
      </c>
      <c r="AL107" s="68">
        <v>30</v>
      </c>
      <c r="AM107" s="68">
        <v>216</v>
      </c>
    </row>
    <row r="108" spans="1:39" x14ac:dyDescent="0.2">
      <c r="A108" s="57" t="s">
        <v>2082</v>
      </c>
      <c r="B108" s="47">
        <v>46173</v>
      </c>
      <c r="C108" s="48"/>
      <c r="D108" s="48" t="s">
        <v>1315</v>
      </c>
      <c r="E108" s="49" t="s">
        <v>994</v>
      </c>
      <c r="F108" s="49" t="s">
        <v>1054</v>
      </c>
      <c r="G108" s="47" t="e">
        <v>#N/A</v>
      </c>
      <c r="H108" s="47" t="s">
        <v>94</v>
      </c>
      <c r="I108" s="9" t="s">
        <v>247</v>
      </c>
      <c r="J108" s="40" t="s">
        <v>1107</v>
      </c>
      <c r="K108" s="9" t="s">
        <v>1030</v>
      </c>
      <c r="L108" s="9" t="s">
        <v>29</v>
      </c>
      <c r="M108" s="11"/>
      <c r="N108" s="11"/>
      <c r="O108" s="50">
        <v>9.072000000000001</v>
      </c>
      <c r="R108" s="9">
        <f>IFERROR(VLOOKUP(E108,Sheet6!$A$2:$B$500,2,FALSE),0)</f>
        <v>1</v>
      </c>
      <c r="S108" s="41">
        <f>IFERROR(VLOOKUP(E108,Sheet6!$C$2:$D$35017,2,FALSE),0)</f>
        <v>21</v>
      </c>
      <c r="U108" s="9">
        <f>IFERROR(VLOOKUP(E108,Sheet2!$AA$1:$AB$975,2,FALSE),0)</f>
        <v>6</v>
      </c>
      <c r="V108" s="41">
        <f>IFERROR(VLOOKUP(E108,Sheet2!$AC$1:$AD$975,2,FALSE),0)</f>
        <v>126</v>
      </c>
      <c r="W108" s="42">
        <f>IFERROR(VLOOKUP(E108,Sheet2!$AE$1:$AF$975,2,FALSE),0)</f>
        <v>68</v>
      </c>
      <c r="X108" s="43">
        <f>IFERROR(VLOOKUP(E108,Sheet2!$AG$1:$AH$975,2,FALSE),0)</f>
        <v>1</v>
      </c>
      <c r="Z108" s="60">
        <f>IFERROR(VLOOKUP(F108,Sheet2!$AA$1:$AB$975,2,FALSE),0)</f>
        <v>0</v>
      </c>
      <c r="AA108" s="64">
        <f>IFERROR(VLOOKUP(F108,Sheet2!$AC$1:$AD$975,2,FALSE),0)</f>
        <v>0</v>
      </c>
      <c r="AB108" s="65">
        <f>IFERROR(VLOOKUP(F108,Sheet2!$AE$2:$AF$6539,2,FALSE),0)</f>
        <v>0</v>
      </c>
      <c r="AC108" s="43">
        <f>IFERROR(VLOOKUP(F108,Sheet2!$AG$2:$AH$6539,2,FALSE),0)</f>
        <v>0</v>
      </c>
      <c r="AE108" s="112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f t="shared" si="4"/>
        <v>0</v>
      </c>
      <c r="AK108" s="45">
        <f t="shared" si="5"/>
        <v>0</v>
      </c>
      <c r="AL108" s="68">
        <v>6</v>
      </c>
      <c r="AM108" s="68">
        <v>60</v>
      </c>
    </row>
    <row r="109" spans="1:39" x14ac:dyDescent="0.2">
      <c r="A109" s="57" t="s">
        <v>2082</v>
      </c>
      <c r="B109" s="47">
        <v>46173</v>
      </c>
      <c r="C109" s="48"/>
      <c r="D109" s="48" t="s">
        <v>1316</v>
      </c>
      <c r="E109" s="49" t="s">
        <v>995</v>
      </c>
      <c r="F109" s="49" t="s">
        <v>1055</v>
      </c>
      <c r="G109" s="47" t="e">
        <v>#N/A</v>
      </c>
      <c r="H109" s="47" t="s">
        <v>94</v>
      </c>
      <c r="I109" s="9" t="s">
        <v>247</v>
      </c>
      <c r="J109" s="40" t="s">
        <v>1107</v>
      </c>
      <c r="K109" s="9" t="s">
        <v>1030</v>
      </c>
      <c r="L109" s="9" t="s">
        <v>32</v>
      </c>
      <c r="M109" s="11"/>
      <c r="N109" s="11"/>
      <c r="O109" s="50">
        <v>9.072000000000001</v>
      </c>
      <c r="R109" s="9">
        <f>IFERROR(VLOOKUP(E109,Sheet6!$A$2:$B$500,2,FALSE),0)</f>
        <v>0</v>
      </c>
      <c r="S109" s="41">
        <f>IFERROR(VLOOKUP(E109,Sheet6!$C$2:$D$35017,2,FALSE),0)</f>
        <v>0</v>
      </c>
      <c r="U109" s="9">
        <f>IFERROR(VLOOKUP(E109,Sheet2!$AA$1:$AB$975,2,FALSE),0)</f>
        <v>0</v>
      </c>
      <c r="V109" s="41">
        <f>IFERROR(VLOOKUP(E109,Sheet2!$AC$1:$AD$975,2,FALSE),0)</f>
        <v>0</v>
      </c>
      <c r="W109" s="42">
        <f>IFERROR(VLOOKUP(E109,Sheet2!$AE$1:$AF$975,2,FALSE),0)</f>
        <v>0</v>
      </c>
      <c r="X109" s="43">
        <f>IFERROR(VLOOKUP(E109,Sheet2!$AG$1:$AH$975,2,FALSE),0)</f>
        <v>0</v>
      </c>
      <c r="Z109" s="60">
        <f>IFERROR(VLOOKUP(F109,Sheet2!$AA$1:$AB$975,2,FALSE),0)</f>
        <v>0</v>
      </c>
      <c r="AA109" s="64">
        <f>IFERROR(VLOOKUP(F109,Sheet2!$AC$1:$AD$975,2,FALSE),0)</f>
        <v>0</v>
      </c>
      <c r="AB109" s="65">
        <f>IFERROR(VLOOKUP(F109,Sheet2!$AE$2:$AF$6539,2,FALSE),0)</f>
        <v>0</v>
      </c>
      <c r="AC109" s="43">
        <f>IFERROR(VLOOKUP(F109,Sheet2!$AG$2:$AH$6539,2,FALSE),0)</f>
        <v>0</v>
      </c>
      <c r="AE109" s="112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f t="shared" si="4"/>
        <v>0</v>
      </c>
      <c r="AK109" s="45">
        <f t="shared" si="5"/>
        <v>0</v>
      </c>
      <c r="AL109" s="68">
        <v>6</v>
      </c>
      <c r="AM109" s="68">
        <v>60</v>
      </c>
    </row>
    <row r="110" spans="1:39" x14ac:dyDescent="0.2">
      <c r="A110" s="57" t="s">
        <v>2082</v>
      </c>
      <c r="B110" s="47">
        <v>46173</v>
      </c>
      <c r="C110" s="48"/>
      <c r="D110" s="48" t="s">
        <v>1317</v>
      </c>
      <c r="E110" s="49" t="s">
        <v>253</v>
      </c>
      <c r="F110" s="49" t="s">
        <v>254</v>
      </c>
      <c r="G110" s="47" t="e">
        <v>#N/A</v>
      </c>
      <c r="H110" s="47" t="s">
        <v>94</v>
      </c>
      <c r="I110" s="9" t="s">
        <v>255</v>
      </c>
      <c r="J110" s="40" t="s">
        <v>1663</v>
      </c>
      <c r="K110" s="40" t="s">
        <v>256</v>
      </c>
      <c r="L110" s="9" t="s">
        <v>32</v>
      </c>
      <c r="M110" s="11"/>
      <c r="N110" s="11"/>
      <c r="O110" s="50">
        <v>8.2080000000000002</v>
      </c>
      <c r="R110" s="9">
        <f>IFERROR(VLOOKUP(E110,Sheet6!$A$2:$B$500,2,FALSE),0)</f>
        <v>0</v>
      </c>
      <c r="S110" s="41">
        <f>IFERROR(VLOOKUP(E110,Sheet6!$C$2:$D$35017,2,FALSE),0)</f>
        <v>0</v>
      </c>
      <c r="U110" s="9">
        <f>IFERROR(VLOOKUP(E110,Sheet2!$AA$1:$AB$975,2,FALSE),0)</f>
        <v>0</v>
      </c>
      <c r="V110" s="41">
        <f>IFERROR(VLOOKUP(E110,Sheet2!$AC$1:$AD$975,2,FALSE),0)</f>
        <v>0</v>
      </c>
      <c r="W110" s="42">
        <f>IFERROR(VLOOKUP(E110,Sheet2!$AE$1:$AF$975,2,FALSE),0)</f>
        <v>0</v>
      </c>
      <c r="X110" s="43">
        <f>IFERROR(VLOOKUP(E110,Sheet2!$AG$1:$AH$975,2,FALSE),0)</f>
        <v>0</v>
      </c>
      <c r="Z110" s="60">
        <f>IFERROR(VLOOKUP(F110,Sheet2!$AA$1:$AB$975,2,FALSE),0)</f>
        <v>0</v>
      </c>
      <c r="AA110" s="64">
        <f>IFERROR(VLOOKUP(F110,Sheet2!$AC$1:$AD$975,2,FALSE),0)</f>
        <v>0</v>
      </c>
      <c r="AB110" s="65">
        <f>IFERROR(VLOOKUP(F110,Sheet2!$AE$2:$AF$6539,2,FALSE),0)</f>
        <v>0</v>
      </c>
      <c r="AC110" s="43">
        <f>IFERROR(VLOOKUP(F110,Sheet2!$AG$2:$AH$6539,2,FALSE),0)</f>
        <v>0</v>
      </c>
      <c r="AE110" s="112">
        <v>20</v>
      </c>
      <c r="AF110" s="9">
        <v>6</v>
      </c>
      <c r="AG110" s="9">
        <v>0</v>
      </c>
      <c r="AH110" s="9">
        <v>0</v>
      </c>
      <c r="AI110" s="9">
        <v>6</v>
      </c>
      <c r="AJ110" s="9">
        <f t="shared" si="4"/>
        <v>26</v>
      </c>
      <c r="AK110" s="45">
        <f t="shared" si="5"/>
        <v>213.40800000000002</v>
      </c>
      <c r="AL110" s="68">
        <v>0</v>
      </c>
      <c r="AM110" s="68">
        <v>0</v>
      </c>
    </row>
    <row r="111" spans="1:39" x14ac:dyDescent="0.2">
      <c r="A111" s="57" t="s">
        <v>2082</v>
      </c>
      <c r="B111" s="47">
        <v>46173</v>
      </c>
      <c r="C111" s="48"/>
      <c r="D111" s="48" t="s">
        <v>1318</v>
      </c>
      <c r="E111" s="49" t="s">
        <v>257</v>
      </c>
      <c r="F111" s="49" t="s">
        <v>258</v>
      </c>
      <c r="G111" s="47" t="e">
        <v>#N/A</v>
      </c>
      <c r="H111" s="47" t="s">
        <v>94</v>
      </c>
      <c r="I111" s="9" t="s">
        <v>255</v>
      </c>
      <c r="J111" s="40" t="s">
        <v>1663</v>
      </c>
      <c r="K111" s="40" t="s">
        <v>259</v>
      </c>
      <c r="L111" s="9" t="s">
        <v>29</v>
      </c>
      <c r="M111" s="11"/>
      <c r="N111" s="11"/>
      <c r="O111" s="50">
        <v>8.2080000000000002</v>
      </c>
      <c r="R111" s="9">
        <f>IFERROR(VLOOKUP(E111,Sheet6!$A$2:$B$500,2,FALSE),0)</f>
        <v>0</v>
      </c>
      <c r="S111" s="41">
        <f>IFERROR(VLOOKUP(E111,Sheet6!$C$2:$D$35017,2,FALSE),0)</f>
        <v>0</v>
      </c>
      <c r="U111" s="9">
        <f>IFERROR(VLOOKUP(E111,Sheet2!$AA$1:$AB$975,2,FALSE),0)</f>
        <v>0</v>
      </c>
      <c r="V111" s="41">
        <f>IFERROR(VLOOKUP(E111,Sheet2!$AC$1:$AD$975,2,FALSE),0)</f>
        <v>0</v>
      </c>
      <c r="W111" s="42">
        <f>IFERROR(VLOOKUP(E111,Sheet2!$AE$1:$AF$975,2,FALSE),0)</f>
        <v>0</v>
      </c>
      <c r="X111" s="43">
        <f>IFERROR(VLOOKUP(E111,Sheet2!$AG$1:$AH$975,2,FALSE),0)</f>
        <v>0</v>
      </c>
      <c r="Z111" s="60">
        <f>IFERROR(VLOOKUP(F111,Sheet2!$AA$1:$AB$975,2,FALSE),0)</f>
        <v>0</v>
      </c>
      <c r="AA111" s="64">
        <f>IFERROR(VLOOKUP(F111,Sheet2!$AC$1:$AD$975,2,FALSE),0)</f>
        <v>0</v>
      </c>
      <c r="AB111" s="65">
        <f>IFERROR(VLOOKUP(F111,Sheet2!$AE$2:$AF$6539,2,FALSE),0)</f>
        <v>0</v>
      </c>
      <c r="AC111" s="43">
        <f>IFERROR(VLOOKUP(F111,Sheet2!$AG$2:$AH$6539,2,FALSE),0)</f>
        <v>0</v>
      </c>
      <c r="AE111" s="112">
        <v>5</v>
      </c>
      <c r="AF111" s="9">
        <v>0</v>
      </c>
      <c r="AG111" s="9">
        <v>0</v>
      </c>
      <c r="AH111" s="9">
        <v>0</v>
      </c>
      <c r="AI111" s="9">
        <v>0</v>
      </c>
      <c r="AJ111" s="9">
        <f t="shared" si="4"/>
        <v>5</v>
      </c>
      <c r="AK111" s="45">
        <f t="shared" si="5"/>
        <v>41.04</v>
      </c>
      <c r="AL111" s="68">
        <v>0</v>
      </c>
      <c r="AM111" s="68">
        <v>0</v>
      </c>
    </row>
    <row r="112" spans="1:39" x14ac:dyDescent="0.2">
      <c r="A112" s="57" t="s">
        <v>2082</v>
      </c>
      <c r="B112" s="47">
        <v>46173</v>
      </c>
      <c r="C112" s="48"/>
      <c r="D112" s="48" t="s">
        <v>1319</v>
      </c>
      <c r="E112" s="49" t="s">
        <v>260</v>
      </c>
      <c r="F112" s="49" t="s">
        <v>261</v>
      </c>
      <c r="G112" s="47" t="e">
        <v>#N/A</v>
      </c>
      <c r="H112" s="47" t="s">
        <v>94</v>
      </c>
      <c r="I112" s="9" t="s">
        <v>255</v>
      </c>
      <c r="J112" s="40" t="s">
        <v>1663</v>
      </c>
      <c r="K112" s="40" t="s">
        <v>259</v>
      </c>
      <c r="L112" s="9" t="s">
        <v>32</v>
      </c>
      <c r="M112" s="11"/>
      <c r="N112" s="11"/>
      <c r="O112" s="50">
        <v>8.2080000000000002</v>
      </c>
      <c r="R112" s="9">
        <f>IFERROR(VLOOKUP(E112,Sheet6!$A$2:$B$500,2,FALSE),0)</f>
        <v>0</v>
      </c>
      <c r="S112" s="41">
        <f>IFERROR(VLOOKUP(E112,Sheet6!$C$2:$D$35017,2,FALSE),0)</f>
        <v>0</v>
      </c>
      <c r="U112" s="9">
        <f>IFERROR(VLOOKUP(E112,Sheet2!$AA$1:$AB$975,2,FALSE),0)</f>
        <v>0</v>
      </c>
      <c r="V112" s="41">
        <f>IFERROR(VLOOKUP(E112,Sheet2!$AC$1:$AD$975,2,FALSE),0)</f>
        <v>0</v>
      </c>
      <c r="W112" s="42">
        <f>IFERROR(VLOOKUP(E112,Sheet2!$AE$1:$AF$975,2,FALSE),0)</f>
        <v>0</v>
      </c>
      <c r="X112" s="43">
        <f>IFERROR(VLOOKUP(E112,Sheet2!$AG$1:$AH$975,2,FALSE),0)</f>
        <v>0</v>
      </c>
      <c r="Z112" s="60">
        <f>IFERROR(VLOOKUP(F112,Sheet2!$AA$1:$AB$975,2,FALSE),0)</f>
        <v>0</v>
      </c>
      <c r="AA112" s="64">
        <f>IFERROR(VLOOKUP(F112,Sheet2!$AC$1:$AD$975,2,FALSE),0)</f>
        <v>0</v>
      </c>
      <c r="AB112" s="65">
        <f>IFERROR(VLOOKUP(F112,Sheet2!$AE$2:$AF$6539,2,FALSE),0)</f>
        <v>0</v>
      </c>
      <c r="AC112" s="43">
        <f>IFERROR(VLOOKUP(F112,Sheet2!$AG$2:$AH$6539,2,FALSE),0)</f>
        <v>0</v>
      </c>
      <c r="AE112" s="112">
        <v>12</v>
      </c>
      <c r="AF112" s="9">
        <v>26</v>
      </c>
      <c r="AG112" s="9">
        <v>0</v>
      </c>
      <c r="AH112" s="9">
        <v>0</v>
      </c>
      <c r="AI112" s="9">
        <v>26</v>
      </c>
      <c r="AJ112" s="9">
        <f t="shared" si="4"/>
        <v>38</v>
      </c>
      <c r="AK112" s="45">
        <f t="shared" si="5"/>
        <v>311.904</v>
      </c>
      <c r="AL112" s="68">
        <v>0</v>
      </c>
      <c r="AM112" s="68">
        <v>0</v>
      </c>
    </row>
    <row r="113" spans="1:39" x14ac:dyDescent="0.2">
      <c r="A113" s="57" t="s">
        <v>2082</v>
      </c>
      <c r="B113" s="47">
        <v>46173</v>
      </c>
      <c r="C113" s="48"/>
      <c r="D113" s="48" t="s">
        <v>1320</v>
      </c>
      <c r="E113" s="49" t="s">
        <v>262</v>
      </c>
      <c r="F113" s="49" t="s">
        <v>263</v>
      </c>
      <c r="G113" s="47" t="s">
        <v>965</v>
      </c>
      <c r="H113" s="47" t="s">
        <v>94</v>
      </c>
      <c r="I113" s="9" t="s">
        <v>255</v>
      </c>
      <c r="J113" s="40" t="s">
        <v>1663</v>
      </c>
      <c r="K113" s="40" t="s">
        <v>259</v>
      </c>
      <c r="L113" s="9" t="s">
        <v>35</v>
      </c>
      <c r="M113" s="11"/>
      <c r="N113" s="11"/>
      <c r="O113" s="50">
        <v>8.2080000000000002</v>
      </c>
      <c r="R113" s="9">
        <f>IFERROR(VLOOKUP(E113,Sheet6!$A$2:$B$500,2,FALSE),0)</f>
        <v>2</v>
      </c>
      <c r="S113" s="41">
        <f>IFERROR(VLOOKUP(E113,Sheet6!$C$2:$D$35017,2,FALSE),0)</f>
        <v>36.1</v>
      </c>
      <c r="U113" s="9">
        <f>IFERROR(VLOOKUP(E113,Sheet2!$AA$1:$AB$975,2,FALSE),0)</f>
        <v>9</v>
      </c>
      <c r="V113" s="41">
        <f>IFERROR(VLOOKUP(E113,Sheet2!$AC$1:$AD$975,2,FALSE),0)</f>
        <v>171</v>
      </c>
      <c r="W113" s="42">
        <f>IFERROR(VLOOKUP(E113,Sheet2!$AE$1:$AF$975,2,FALSE),0)</f>
        <v>62</v>
      </c>
      <c r="X113" s="43">
        <f>IFERROR(VLOOKUP(E113,Sheet2!$AG$1:$AH$975,2,FALSE),0)</f>
        <v>0</v>
      </c>
      <c r="Z113" s="60">
        <f>IFERROR(VLOOKUP(F113,Sheet2!$AA$1:$AB$975,2,FALSE),0)</f>
        <v>0</v>
      </c>
      <c r="AA113" s="64">
        <f>IFERROR(VLOOKUP(F113,Sheet2!$AC$1:$AD$975,2,FALSE),0)</f>
        <v>0</v>
      </c>
      <c r="AB113" s="65">
        <f>IFERROR(VLOOKUP(F113,Sheet2!$AE$2:$AF$6539,2,FALSE),0)</f>
        <v>0</v>
      </c>
      <c r="AC113" s="43">
        <f>IFERROR(VLOOKUP(F113,Sheet2!$AG$2:$AH$6539,2,FALSE),0)</f>
        <v>0</v>
      </c>
      <c r="AE113" s="112">
        <v>8</v>
      </c>
      <c r="AF113" s="9">
        <v>0</v>
      </c>
      <c r="AG113" s="9">
        <v>0</v>
      </c>
      <c r="AH113" s="9">
        <v>0</v>
      </c>
      <c r="AI113" s="9">
        <v>0</v>
      </c>
      <c r="AJ113" s="9">
        <f t="shared" si="4"/>
        <v>8</v>
      </c>
      <c r="AK113" s="45">
        <f t="shared" si="5"/>
        <v>65.664000000000001</v>
      </c>
      <c r="AL113" s="68">
        <v>54</v>
      </c>
      <c r="AM113" s="68">
        <v>30</v>
      </c>
    </row>
    <row r="114" spans="1:39" x14ac:dyDescent="0.2">
      <c r="A114" s="57" t="s">
        <v>2082</v>
      </c>
      <c r="B114" s="47">
        <v>46173</v>
      </c>
      <c r="C114" s="48"/>
      <c r="D114" s="48" t="s">
        <v>1321</v>
      </c>
      <c r="E114" s="49" t="s">
        <v>264</v>
      </c>
      <c r="F114" s="49" t="s">
        <v>265</v>
      </c>
      <c r="G114" s="47" t="s">
        <v>966</v>
      </c>
      <c r="H114" s="47" t="s">
        <v>94</v>
      </c>
      <c r="I114" s="9" t="s">
        <v>266</v>
      </c>
      <c r="J114" s="40" t="s">
        <v>1755</v>
      </c>
      <c r="K114" s="9" t="s">
        <v>24</v>
      </c>
      <c r="L114" s="9" t="s">
        <v>29</v>
      </c>
      <c r="M114" s="11"/>
      <c r="N114" s="11"/>
      <c r="O114" s="50">
        <v>4.95</v>
      </c>
      <c r="R114" s="9">
        <f>IFERROR(VLOOKUP(E114,Sheet6!$A$2:$B$500,2,FALSE),0)</f>
        <v>0</v>
      </c>
      <c r="S114" s="41">
        <f>IFERROR(VLOOKUP(E114,Sheet6!$C$2:$D$35017,2,FALSE),0)</f>
        <v>0</v>
      </c>
      <c r="U114" s="9">
        <f>IFERROR(VLOOKUP(E114,Sheet2!$AA$1:$AB$975,2,FALSE),0)</f>
        <v>0</v>
      </c>
      <c r="V114" s="41">
        <f>IFERROR(VLOOKUP(E114,Sheet2!$AC$1:$AD$975,2,FALSE),0)</f>
        <v>0</v>
      </c>
      <c r="W114" s="42">
        <f>IFERROR(VLOOKUP(E114,Sheet2!$AE$1:$AF$975,2,FALSE),0)</f>
        <v>0</v>
      </c>
      <c r="X114" s="43">
        <f>IFERROR(VLOOKUP(E114,Sheet2!$AG$1:$AH$975,2,FALSE),0)</f>
        <v>0</v>
      </c>
      <c r="Z114" s="60">
        <f>IFERROR(VLOOKUP(F114,Sheet2!$AA$1:$AB$975,2,FALSE),0)</f>
        <v>0</v>
      </c>
      <c r="AA114" s="64">
        <f>IFERROR(VLOOKUP(F114,Sheet2!$AC$1:$AD$975,2,FALSE),0)</f>
        <v>0</v>
      </c>
      <c r="AB114" s="65">
        <f>IFERROR(VLOOKUP(F114,Sheet2!$AE$2:$AF$6539,2,FALSE),0)</f>
        <v>0</v>
      </c>
      <c r="AC114" s="43">
        <f>IFERROR(VLOOKUP(F114,Sheet2!$AG$2:$AH$6539,2,FALSE),0)</f>
        <v>0</v>
      </c>
      <c r="AE114" s="112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f t="shared" si="4"/>
        <v>0</v>
      </c>
      <c r="AK114" s="45">
        <f t="shared" si="5"/>
        <v>0</v>
      </c>
      <c r="AL114" s="68">
        <v>0</v>
      </c>
      <c r="AM114" s="68">
        <v>0</v>
      </c>
    </row>
    <row r="115" spans="1:39" x14ac:dyDescent="0.2">
      <c r="A115" s="57" t="s">
        <v>2082</v>
      </c>
      <c r="B115" s="47">
        <v>46173</v>
      </c>
      <c r="C115" s="48"/>
      <c r="D115" s="48" t="s">
        <v>1322</v>
      </c>
      <c r="E115" s="49" t="s">
        <v>267</v>
      </c>
      <c r="F115" s="49" t="s">
        <v>268</v>
      </c>
      <c r="G115" s="47" t="e">
        <v>#N/A</v>
      </c>
      <c r="H115" s="47" t="s">
        <v>22</v>
      </c>
      <c r="I115" s="9" t="s">
        <v>266</v>
      </c>
      <c r="J115" s="40" t="s">
        <v>1755</v>
      </c>
      <c r="K115" s="9" t="s">
        <v>24</v>
      </c>
      <c r="L115" s="9" t="s">
        <v>32</v>
      </c>
      <c r="M115" s="11"/>
      <c r="N115" s="11"/>
      <c r="O115" s="50">
        <v>4.95</v>
      </c>
      <c r="R115" s="9">
        <f>IFERROR(VLOOKUP(E115,Sheet6!$A$2:$B$500,2,FALSE),0)</f>
        <v>6</v>
      </c>
      <c r="S115" s="41">
        <f>IFERROR(VLOOKUP(E115,Sheet6!$C$2:$D$35017,2,FALSE),0)</f>
        <v>56.1</v>
      </c>
      <c r="U115" s="9">
        <f>IFERROR(VLOOKUP(E115,Sheet2!$AA$1:$AB$975,2,FALSE),0)</f>
        <v>13</v>
      </c>
      <c r="V115" s="41">
        <f>IFERROR(VLOOKUP(E115,Sheet2!$AC$1:$AD$975,2,FALSE),0)</f>
        <v>143</v>
      </c>
      <c r="W115" s="42">
        <f>IFERROR(VLOOKUP(E115,Sheet2!$AE$1:$AF$975,2,FALSE),0)</f>
        <v>29</v>
      </c>
      <c r="X115" s="43">
        <f>IFERROR(VLOOKUP(E115,Sheet2!$AG$1:$AH$975,2,FALSE),0)</f>
        <v>1</v>
      </c>
      <c r="Z115" s="60">
        <f>IFERROR(VLOOKUP(F115,Sheet2!$AA$1:$AB$975,2,FALSE),0)</f>
        <v>0</v>
      </c>
      <c r="AA115" s="64">
        <f>IFERROR(VLOOKUP(F115,Sheet2!$AC$1:$AD$975,2,FALSE),0)</f>
        <v>0</v>
      </c>
      <c r="AB115" s="65">
        <f>IFERROR(VLOOKUP(F115,Sheet2!$AE$2:$AF$6539,2,FALSE),0)</f>
        <v>0</v>
      </c>
      <c r="AC115" s="43">
        <f>IFERROR(VLOOKUP(F115,Sheet2!$AG$2:$AH$6539,2,FALSE),0)</f>
        <v>0</v>
      </c>
      <c r="AE115" s="112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f t="shared" si="4"/>
        <v>0</v>
      </c>
      <c r="AK115" s="45">
        <f t="shared" si="5"/>
        <v>0</v>
      </c>
      <c r="AL115" s="68">
        <v>0</v>
      </c>
      <c r="AM115" s="68">
        <v>0</v>
      </c>
    </row>
    <row r="116" spans="1:39" x14ac:dyDescent="0.2">
      <c r="A116" s="57" t="s">
        <v>2082</v>
      </c>
      <c r="B116" s="47">
        <v>46173</v>
      </c>
      <c r="C116" s="48"/>
      <c r="D116" s="48" t="s">
        <v>1323</v>
      </c>
      <c r="E116" s="49" t="s">
        <v>269</v>
      </c>
      <c r="F116" s="49" t="s">
        <v>270</v>
      </c>
      <c r="G116" s="47" t="e">
        <v>#N/A</v>
      </c>
      <c r="H116" s="47" t="s">
        <v>22</v>
      </c>
      <c r="I116" s="9" t="s">
        <v>266</v>
      </c>
      <c r="J116" s="40" t="s">
        <v>1755</v>
      </c>
      <c r="K116" s="9" t="s">
        <v>24</v>
      </c>
      <c r="L116" s="9" t="s">
        <v>35</v>
      </c>
      <c r="M116" s="11"/>
      <c r="N116" s="11"/>
      <c r="O116" s="50">
        <v>4.95</v>
      </c>
      <c r="R116" s="9">
        <f>IFERROR(VLOOKUP(E116,Sheet6!$A$2:$B$500,2,FALSE),0)</f>
        <v>0</v>
      </c>
      <c r="S116" s="41">
        <f>IFERROR(VLOOKUP(E116,Sheet6!$C$2:$D$35017,2,FALSE),0)</f>
        <v>0</v>
      </c>
      <c r="U116" s="9">
        <f>IFERROR(VLOOKUP(E116,Sheet2!$AA$1:$AB$975,2,FALSE),0)</f>
        <v>2</v>
      </c>
      <c r="V116" s="41">
        <f>IFERROR(VLOOKUP(E116,Sheet2!$AC$1:$AD$975,2,FALSE),0)</f>
        <v>22</v>
      </c>
      <c r="W116" s="42">
        <f>IFERROR(VLOOKUP(E116,Sheet2!$AE$1:$AF$975,2,FALSE),0)</f>
        <v>36</v>
      </c>
      <c r="X116" s="43">
        <f>IFERROR(VLOOKUP(E116,Sheet2!$AG$1:$AH$975,2,FALSE),0)</f>
        <v>1</v>
      </c>
      <c r="Z116" s="60">
        <f>IFERROR(VLOOKUP(F116,Sheet2!$AA$1:$AB$975,2,FALSE),0)</f>
        <v>0</v>
      </c>
      <c r="AA116" s="64">
        <f>IFERROR(VLOOKUP(F116,Sheet2!$AC$1:$AD$975,2,FALSE),0)</f>
        <v>0</v>
      </c>
      <c r="AB116" s="65">
        <f>IFERROR(VLOOKUP(F116,Sheet2!$AE$2:$AF$6539,2,FALSE),0)</f>
        <v>0</v>
      </c>
      <c r="AC116" s="43">
        <f>IFERROR(VLOOKUP(F116,Sheet2!$AG$2:$AH$6539,2,FALSE),0)</f>
        <v>0</v>
      </c>
      <c r="AE116" s="112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f t="shared" si="4"/>
        <v>0</v>
      </c>
      <c r="AK116" s="45">
        <f t="shared" si="5"/>
        <v>0</v>
      </c>
      <c r="AL116" s="68">
        <v>0</v>
      </c>
      <c r="AM116" s="68">
        <v>6</v>
      </c>
    </row>
    <row r="117" spans="1:39" x14ac:dyDescent="0.2">
      <c r="A117" s="57" t="s">
        <v>2082</v>
      </c>
      <c r="B117" s="47">
        <v>46173</v>
      </c>
      <c r="C117" s="48"/>
      <c r="D117" s="48" t="s">
        <v>1324</v>
      </c>
      <c r="E117" s="49" t="s">
        <v>271</v>
      </c>
      <c r="F117" s="49" t="s">
        <v>272</v>
      </c>
      <c r="G117" s="47" t="e">
        <v>#N/A</v>
      </c>
      <c r="H117" s="47" t="s">
        <v>22</v>
      </c>
      <c r="I117" s="9" t="s">
        <v>266</v>
      </c>
      <c r="J117" s="40" t="s">
        <v>1755</v>
      </c>
      <c r="K117" s="9" t="s">
        <v>41</v>
      </c>
      <c r="L117" s="9" t="s">
        <v>29</v>
      </c>
      <c r="M117" s="11"/>
      <c r="N117" s="11"/>
      <c r="O117" s="50">
        <v>4.95</v>
      </c>
      <c r="R117" s="9">
        <f>IFERROR(VLOOKUP(E117,Sheet6!$A$2:$B$500,2,FALSE),0)</f>
        <v>0</v>
      </c>
      <c r="S117" s="41">
        <f>IFERROR(VLOOKUP(E117,Sheet6!$C$2:$D$35017,2,FALSE),0)</f>
        <v>0</v>
      </c>
      <c r="U117" s="9">
        <f>IFERROR(VLOOKUP(E117,Sheet2!$AA$1:$AB$975,2,FALSE),0)</f>
        <v>0</v>
      </c>
      <c r="V117" s="41">
        <f>IFERROR(VLOOKUP(E117,Sheet2!$AC$1:$AD$975,2,FALSE),0)</f>
        <v>0</v>
      </c>
      <c r="W117" s="42">
        <f>IFERROR(VLOOKUP(E117,Sheet2!$AE$1:$AF$975,2,FALSE),0)</f>
        <v>0</v>
      </c>
      <c r="X117" s="43">
        <f>IFERROR(VLOOKUP(E117,Sheet2!$AG$1:$AH$975,2,FALSE),0)</f>
        <v>0</v>
      </c>
      <c r="Z117" s="60">
        <f>IFERROR(VLOOKUP(F117,Sheet2!$AA$1:$AB$975,2,FALSE),0)</f>
        <v>0</v>
      </c>
      <c r="AA117" s="64">
        <f>IFERROR(VLOOKUP(F117,Sheet2!$AC$1:$AD$975,2,FALSE),0)</f>
        <v>0</v>
      </c>
      <c r="AB117" s="65">
        <f>IFERROR(VLOOKUP(F117,Sheet2!$AE$2:$AF$6539,2,FALSE),0)</f>
        <v>0</v>
      </c>
      <c r="AC117" s="43">
        <f>IFERROR(VLOOKUP(F117,Sheet2!$AG$2:$AH$6539,2,FALSE),0)</f>
        <v>0</v>
      </c>
      <c r="AE117" s="112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f t="shared" si="4"/>
        <v>0</v>
      </c>
      <c r="AK117" s="45">
        <f t="shared" si="5"/>
        <v>0</v>
      </c>
      <c r="AL117" s="68">
        <v>0</v>
      </c>
      <c r="AM117" s="68">
        <v>0</v>
      </c>
    </row>
    <row r="118" spans="1:39" x14ac:dyDescent="0.2">
      <c r="A118" s="57" t="s">
        <v>2082</v>
      </c>
      <c r="B118" s="47">
        <v>46173</v>
      </c>
      <c r="C118" s="48"/>
      <c r="D118" s="48" t="s">
        <v>1325</v>
      </c>
      <c r="E118" s="49" t="s">
        <v>273</v>
      </c>
      <c r="F118" s="49" t="s">
        <v>274</v>
      </c>
      <c r="G118" s="47" t="e">
        <v>#N/A</v>
      </c>
      <c r="H118" s="47" t="s">
        <v>22</v>
      </c>
      <c r="I118" s="9" t="s">
        <v>266</v>
      </c>
      <c r="J118" s="40" t="s">
        <v>1755</v>
      </c>
      <c r="K118" s="9" t="s">
        <v>41</v>
      </c>
      <c r="L118" s="9" t="s">
        <v>32</v>
      </c>
      <c r="M118" s="11"/>
      <c r="N118" s="11"/>
      <c r="O118" s="50">
        <v>4.95</v>
      </c>
      <c r="R118" s="9">
        <f>IFERROR(VLOOKUP(E118,Sheet6!$A$2:$B$500,2,FALSE),0)</f>
        <v>0</v>
      </c>
      <c r="S118" s="41">
        <f>IFERROR(VLOOKUP(E118,Sheet6!$C$2:$D$35017,2,FALSE),0)</f>
        <v>0</v>
      </c>
      <c r="U118" s="9">
        <f>IFERROR(VLOOKUP(E118,Sheet2!$AA$1:$AB$975,2,FALSE),0)</f>
        <v>6</v>
      </c>
      <c r="V118" s="41">
        <f>IFERROR(VLOOKUP(E118,Sheet2!$AC$1:$AD$975,2,FALSE),0)</f>
        <v>66</v>
      </c>
      <c r="W118" s="42">
        <f>IFERROR(VLOOKUP(E118,Sheet2!$AE$1:$AF$975,2,FALSE),0)</f>
        <v>27</v>
      </c>
      <c r="X118" s="43">
        <f>IFERROR(VLOOKUP(E118,Sheet2!$AG$1:$AH$975,2,FALSE),0)</f>
        <v>1</v>
      </c>
      <c r="Z118" s="60">
        <f>IFERROR(VLOOKUP(F118,Sheet2!$AA$1:$AB$975,2,FALSE),0)</f>
        <v>0</v>
      </c>
      <c r="AA118" s="64">
        <f>IFERROR(VLOOKUP(F118,Sheet2!$AC$1:$AD$975,2,FALSE),0)</f>
        <v>0</v>
      </c>
      <c r="AB118" s="65">
        <f>IFERROR(VLOOKUP(F118,Sheet2!$AE$2:$AF$6539,2,FALSE),0)</f>
        <v>0</v>
      </c>
      <c r="AC118" s="43">
        <f>IFERROR(VLOOKUP(F118,Sheet2!$AG$2:$AH$6539,2,FALSE),0)</f>
        <v>0</v>
      </c>
      <c r="AE118" s="112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f t="shared" si="4"/>
        <v>0</v>
      </c>
      <c r="AK118" s="45">
        <f t="shared" si="5"/>
        <v>0</v>
      </c>
      <c r="AL118" s="68">
        <v>0</v>
      </c>
      <c r="AM118" s="68">
        <v>0</v>
      </c>
    </row>
    <row r="119" spans="1:39" x14ac:dyDescent="0.2">
      <c r="A119" s="57" t="s">
        <v>2082</v>
      </c>
      <c r="B119" s="47">
        <v>46173</v>
      </c>
      <c r="C119" s="111"/>
      <c r="D119" s="48" t="s">
        <v>1326</v>
      </c>
      <c r="E119" s="49" t="s">
        <v>1991</v>
      </c>
      <c r="F119" s="49" t="s">
        <v>2005</v>
      </c>
      <c r="G119" s="47" t="e">
        <v>#N/A</v>
      </c>
      <c r="H119" s="47" t="s">
        <v>22</v>
      </c>
      <c r="I119" s="9" t="s">
        <v>266</v>
      </c>
      <c r="J119" s="40" t="s">
        <v>1755</v>
      </c>
      <c r="K119" s="9" t="s">
        <v>41</v>
      </c>
      <c r="L119" s="9" t="s">
        <v>35</v>
      </c>
      <c r="M119" s="11"/>
      <c r="N119" s="11"/>
      <c r="O119" s="50">
        <v>4.95</v>
      </c>
      <c r="R119" s="9">
        <f>IFERROR(VLOOKUP(E119,Sheet6!$A$2:$B$500,2,FALSE),0)</f>
        <v>0</v>
      </c>
      <c r="S119" s="41">
        <f>IFERROR(VLOOKUP(E119,Sheet6!$C$2:$D$35017,2,FALSE),0)</f>
        <v>0</v>
      </c>
      <c r="U119" s="9">
        <f>IFERROR(VLOOKUP(E119,Sheet2!$AA$1:$AB$975,2,FALSE),0)</f>
        <v>0</v>
      </c>
      <c r="V119" s="41">
        <f>IFERROR(VLOOKUP(E119,Sheet2!$AC$1:$AD$975,2,FALSE),0)</f>
        <v>0</v>
      </c>
      <c r="W119" s="42">
        <f>IFERROR(VLOOKUP(E119,Sheet2!$AE$1:$AF$975,2,FALSE),0)</f>
        <v>0</v>
      </c>
      <c r="X119" s="43">
        <f>IFERROR(VLOOKUP(E119,Sheet2!$AG$1:$AH$975,2,FALSE),0)</f>
        <v>0</v>
      </c>
      <c r="Z119" s="60">
        <f>IFERROR(VLOOKUP(F119,Sheet2!$AA$1:$AB$975,2,FALSE),0)</f>
        <v>0</v>
      </c>
      <c r="AA119" s="64">
        <f>IFERROR(VLOOKUP(F119,Sheet2!$AC$1:$AD$975,2,FALSE),0)</f>
        <v>0</v>
      </c>
      <c r="AB119" s="65">
        <f>IFERROR(VLOOKUP(F119,Sheet2!$AE$2:$AF$6539,2,FALSE),0)</f>
        <v>0</v>
      </c>
      <c r="AC119" s="43">
        <f>IFERROR(VLOOKUP(F119,Sheet2!$AG$2:$AH$6539,2,FALSE),0)</f>
        <v>0</v>
      </c>
      <c r="AE119" s="112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f t="shared" si="4"/>
        <v>0</v>
      </c>
      <c r="AK119" s="45">
        <f t="shared" si="5"/>
        <v>0</v>
      </c>
      <c r="AL119" s="68">
        <v>0</v>
      </c>
      <c r="AM119" s="68">
        <v>0</v>
      </c>
    </row>
    <row r="120" spans="1:39" x14ac:dyDescent="0.2">
      <c r="A120" s="57" t="s">
        <v>2082</v>
      </c>
      <c r="B120" s="47">
        <v>46173</v>
      </c>
      <c r="C120" s="48"/>
      <c r="D120" s="48" t="s">
        <v>1327</v>
      </c>
      <c r="E120" s="49" t="s">
        <v>275</v>
      </c>
      <c r="F120" s="49" t="s">
        <v>276</v>
      </c>
      <c r="G120" s="47" t="e">
        <v>#N/A</v>
      </c>
      <c r="H120" s="47" t="s">
        <v>22</v>
      </c>
      <c r="I120" s="9" t="s">
        <v>266</v>
      </c>
      <c r="J120" s="40" t="s">
        <v>1755</v>
      </c>
      <c r="K120" s="9" t="s">
        <v>187</v>
      </c>
      <c r="L120" s="9" t="s">
        <v>29</v>
      </c>
      <c r="M120" s="11"/>
      <c r="N120" s="11"/>
      <c r="O120" s="50">
        <v>4.95</v>
      </c>
      <c r="R120" s="9">
        <f>IFERROR(VLOOKUP(E120,Sheet6!$A$2:$B$500,2,FALSE),0)</f>
        <v>0</v>
      </c>
      <c r="S120" s="41">
        <f>IFERROR(VLOOKUP(E120,Sheet6!$C$2:$D$35017,2,FALSE),0)</f>
        <v>0</v>
      </c>
      <c r="U120" s="9">
        <f>IFERROR(VLOOKUP(E120,Sheet2!$AA$1:$AB$975,2,FALSE),0)</f>
        <v>0</v>
      </c>
      <c r="V120" s="41">
        <f>IFERROR(VLOOKUP(E120,Sheet2!$AC$1:$AD$975,2,FALSE),0)</f>
        <v>0</v>
      </c>
      <c r="W120" s="42">
        <f>IFERROR(VLOOKUP(E120,Sheet2!$AE$1:$AF$975,2,FALSE),0)</f>
        <v>0</v>
      </c>
      <c r="X120" s="43">
        <f>IFERROR(VLOOKUP(E120,Sheet2!$AG$1:$AH$975,2,FALSE),0)</f>
        <v>0</v>
      </c>
      <c r="Z120" s="60">
        <f>IFERROR(VLOOKUP(F120,Sheet2!$AA$1:$AB$975,2,FALSE),0)</f>
        <v>0</v>
      </c>
      <c r="AA120" s="64">
        <f>IFERROR(VLOOKUP(F120,Sheet2!$AC$1:$AD$975,2,FALSE),0)</f>
        <v>0</v>
      </c>
      <c r="AB120" s="65">
        <f>IFERROR(VLOOKUP(F120,Sheet2!$AE$2:$AF$6539,2,FALSE),0)</f>
        <v>0</v>
      </c>
      <c r="AC120" s="43">
        <f>IFERROR(VLOOKUP(F120,Sheet2!$AG$2:$AH$6539,2,FALSE),0)</f>
        <v>0</v>
      </c>
      <c r="AE120" s="112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f t="shared" si="4"/>
        <v>0</v>
      </c>
      <c r="AK120" s="45">
        <f t="shared" si="5"/>
        <v>0</v>
      </c>
      <c r="AL120" s="68">
        <v>0</v>
      </c>
      <c r="AM120" s="68">
        <v>12</v>
      </c>
    </row>
    <row r="121" spans="1:39" x14ac:dyDescent="0.2">
      <c r="A121" s="57" t="s">
        <v>2082</v>
      </c>
      <c r="B121" s="47">
        <v>46173</v>
      </c>
      <c r="C121" s="48"/>
      <c r="D121" s="48" t="s">
        <v>1328</v>
      </c>
      <c r="E121" s="49" t="s">
        <v>277</v>
      </c>
      <c r="F121" s="49" t="s">
        <v>278</v>
      </c>
      <c r="G121" s="47" t="e">
        <v>#N/A</v>
      </c>
      <c r="H121" s="47" t="s">
        <v>22</v>
      </c>
      <c r="I121" s="9" t="s">
        <v>266</v>
      </c>
      <c r="J121" s="40" t="s">
        <v>1755</v>
      </c>
      <c r="K121" s="9" t="s">
        <v>187</v>
      </c>
      <c r="L121" s="9" t="s">
        <v>32</v>
      </c>
      <c r="M121" s="11"/>
      <c r="N121" s="11"/>
      <c r="O121" s="50">
        <v>4.95</v>
      </c>
      <c r="R121" s="9">
        <f>IFERROR(VLOOKUP(E121,Sheet6!$A$2:$B$500,2,FALSE),0)</f>
        <v>0</v>
      </c>
      <c r="S121" s="41">
        <f>IFERROR(VLOOKUP(E121,Sheet6!$C$2:$D$35017,2,FALSE),0)</f>
        <v>0</v>
      </c>
      <c r="U121" s="9">
        <f>IFERROR(VLOOKUP(E121,Sheet2!$AA$1:$AB$975,2,FALSE),0)</f>
        <v>0</v>
      </c>
      <c r="V121" s="41">
        <f>IFERROR(VLOOKUP(E121,Sheet2!$AC$1:$AD$975,2,FALSE),0)</f>
        <v>0</v>
      </c>
      <c r="W121" s="42">
        <f>IFERROR(VLOOKUP(E121,Sheet2!$AE$1:$AF$975,2,FALSE),0)</f>
        <v>0</v>
      </c>
      <c r="X121" s="43">
        <f>IFERROR(VLOOKUP(E121,Sheet2!$AG$1:$AH$975,2,FALSE),0)</f>
        <v>0</v>
      </c>
      <c r="Z121" s="60">
        <f>IFERROR(VLOOKUP(F121,Sheet2!$AA$1:$AB$975,2,FALSE),0)</f>
        <v>0</v>
      </c>
      <c r="AA121" s="64">
        <f>IFERROR(VLOOKUP(F121,Sheet2!$AC$1:$AD$975,2,FALSE),0)</f>
        <v>0</v>
      </c>
      <c r="AB121" s="65">
        <f>IFERROR(VLOOKUP(F121,Sheet2!$AE$2:$AF$6539,2,FALSE),0)</f>
        <v>0</v>
      </c>
      <c r="AC121" s="43">
        <f>IFERROR(VLOOKUP(F121,Sheet2!$AG$2:$AH$6539,2,FALSE),0)</f>
        <v>0</v>
      </c>
      <c r="AE121" s="112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f t="shared" si="4"/>
        <v>0</v>
      </c>
      <c r="AK121" s="45">
        <f t="shared" si="5"/>
        <v>0</v>
      </c>
      <c r="AL121" s="68">
        <v>0</v>
      </c>
      <c r="AM121" s="68">
        <v>0</v>
      </c>
    </row>
    <row r="122" spans="1:39" x14ac:dyDescent="0.2">
      <c r="A122" s="57" t="s">
        <v>2082</v>
      </c>
      <c r="B122" s="47">
        <v>46173</v>
      </c>
      <c r="C122" s="48"/>
      <c r="D122" s="48" t="s">
        <v>1329</v>
      </c>
      <c r="E122" s="49" t="s">
        <v>279</v>
      </c>
      <c r="F122" s="49" t="s">
        <v>280</v>
      </c>
      <c r="G122" s="47" t="e">
        <v>#N/A</v>
      </c>
      <c r="H122" s="47" t="s">
        <v>22</v>
      </c>
      <c r="I122" s="9" t="s">
        <v>266</v>
      </c>
      <c r="J122" s="40" t="s">
        <v>1755</v>
      </c>
      <c r="K122" s="9" t="s">
        <v>187</v>
      </c>
      <c r="L122" s="9" t="s">
        <v>35</v>
      </c>
      <c r="M122" s="11"/>
      <c r="N122" s="11"/>
      <c r="O122" s="50">
        <v>4.95</v>
      </c>
      <c r="R122" s="9">
        <f>IFERROR(VLOOKUP(E122,Sheet6!$A$2:$B$500,2,FALSE),0)</f>
        <v>0</v>
      </c>
      <c r="S122" s="41">
        <f>IFERROR(VLOOKUP(E122,Sheet6!$C$2:$D$35017,2,FALSE),0)</f>
        <v>0</v>
      </c>
      <c r="U122" s="9">
        <f>IFERROR(VLOOKUP(E122,Sheet2!$AA$1:$AB$975,2,FALSE),0)</f>
        <v>0</v>
      </c>
      <c r="V122" s="41">
        <f>IFERROR(VLOOKUP(E122,Sheet2!$AC$1:$AD$975,2,FALSE),0)</f>
        <v>0</v>
      </c>
      <c r="W122" s="42">
        <f>IFERROR(VLOOKUP(E122,Sheet2!$AE$1:$AF$975,2,FALSE),0)</f>
        <v>0</v>
      </c>
      <c r="X122" s="43">
        <f>IFERROR(VLOOKUP(E122,Sheet2!$AG$1:$AH$975,2,FALSE),0)</f>
        <v>0</v>
      </c>
      <c r="Z122" s="60">
        <f>IFERROR(VLOOKUP(F122,Sheet2!$AA$1:$AB$975,2,FALSE),0)</f>
        <v>0</v>
      </c>
      <c r="AA122" s="64">
        <f>IFERROR(VLOOKUP(F122,Sheet2!$AC$1:$AD$975,2,FALSE),0)</f>
        <v>0</v>
      </c>
      <c r="AB122" s="65">
        <f>IFERROR(VLOOKUP(F122,Sheet2!$AE$2:$AF$6539,2,FALSE),0)</f>
        <v>0</v>
      </c>
      <c r="AC122" s="43">
        <f>IFERROR(VLOOKUP(F122,Sheet2!$AG$2:$AH$6539,2,FALSE),0)</f>
        <v>0</v>
      </c>
      <c r="AE122" s="112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f t="shared" si="4"/>
        <v>0</v>
      </c>
      <c r="AK122" s="45">
        <f t="shared" si="5"/>
        <v>0</v>
      </c>
      <c r="AL122" s="68">
        <v>0</v>
      </c>
      <c r="AM122" s="68">
        <v>0</v>
      </c>
    </row>
    <row r="123" spans="1:39" x14ac:dyDescent="0.2">
      <c r="A123" s="57" t="s">
        <v>2082</v>
      </c>
      <c r="B123" s="47">
        <v>46173</v>
      </c>
      <c r="C123" s="48"/>
      <c r="D123" s="48" t="s">
        <v>1330</v>
      </c>
      <c r="E123" s="49" t="s">
        <v>281</v>
      </c>
      <c r="F123" s="49" t="s">
        <v>282</v>
      </c>
      <c r="G123" s="47" t="e">
        <v>#N/A</v>
      </c>
      <c r="H123" s="47" t="s">
        <v>22</v>
      </c>
      <c r="I123" s="9" t="s">
        <v>283</v>
      </c>
      <c r="J123" s="40" t="s">
        <v>1836</v>
      </c>
      <c r="K123" s="9" t="s">
        <v>24</v>
      </c>
      <c r="L123" s="9" t="s">
        <v>284</v>
      </c>
      <c r="M123" s="11"/>
      <c r="N123" s="11"/>
      <c r="O123" s="50">
        <v>5.4</v>
      </c>
      <c r="R123" s="9">
        <f>IFERROR(VLOOKUP(E123,Sheet6!$A$2:$B$500,2,FALSE),0)</f>
        <v>0</v>
      </c>
      <c r="S123" s="41">
        <f>IFERROR(VLOOKUP(E123,Sheet6!$C$2:$D$35017,2,FALSE),0)</f>
        <v>0</v>
      </c>
      <c r="U123" s="9">
        <f>IFERROR(VLOOKUP(E123,Sheet2!$AA$1:$AB$975,2,FALSE),0)</f>
        <v>0</v>
      </c>
      <c r="V123" s="41">
        <f>IFERROR(VLOOKUP(E123,Sheet2!$AC$1:$AD$975,2,FALSE),0)</f>
        <v>0</v>
      </c>
      <c r="W123" s="42">
        <f>IFERROR(VLOOKUP(E123,Sheet2!$AE$1:$AF$975,2,FALSE),0)</f>
        <v>0</v>
      </c>
      <c r="X123" s="43">
        <f>IFERROR(VLOOKUP(E123,Sheet2!$AG$1:$AH$975,2,FALSE),0)</f>
        <v>0</v>
      </c>
      <c r="Z123" s="60">
        <f>IFERROR(VLOOKUP(F123,Sheet2!$AA$1:$AB$975,2,FALSE),0)</f>
        <v>0</v>
      </c>
      <c r="AA123" s="64">
        <f>IFERROR(VLOOKUP(F123,Sheet2!$AC$1:$AD$975,2,FALSE),0)</f>
        <v>0</v>
      </c>
      <c r="AB123" s="65">
        <f>IFERROR(VLOOKUP(F123,Sheet2!$AE$2:$AF$6539,2,FALSE),0)</f>
        <v>0</v>
      </c>
      <c r="AC123" s="43">
        <f>IFERROR(VLOOKUP(F123,Sheet2!$AG$2:$AH$6539,2,FALSE),0)</f>
        <v>0</v>
      </c>
      <c r="AE123" s="112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f t="shared" si="4"/>
        <v>0</v>
      </c>
      <c r="AK123" s="45">
        <f t="shared" si="5"/>
        <v>0</v>
      </c>
      <c r="AL123" s="68">
        <v>0</v>
      </c>
      <c r="AM123" s="68">
        <v>0</v>
      </c>
    </row>
    <row r="124" spans="1:39" x14ac:dyDescent="0.2">
      <c r="A124" s="57" t="s">
        <v>2082</v>
      </c>
      <c r="B124" s="47">
        <v>46173</v>
      </c>
      <c r="C124" s="48"/>
      <c r="D124" s="48" t="s">
        <v>1331</v>
      </c>
      <c r="E124" s="49" t="s">
        <v>285</v>
      </c>
      <c r="F124" s="49" t="s">
        <v>286</v>
      </c>
      <c r="G124" s="47" t="e">
        <v>#N/A</v>
      </c>
      <c r="H124" s="47" t="s">
        <v>22</v>
      </c>
      <c r="I124" s="40" t="s">
        <v>283</v>
      </c>
      <c r="J124" s="40" t="s">
        <v>1836</v>
      </c>
      <c r="K124" s="9" t="s">
        <v>24</v>
      </c>
      <c r="L124" s="9" t="s">
        <v>29</v>
      </c>
      <c r="M124" s="11"/>
      <c r="N124" s="11"/>
      <c r="O124" s="50">
        <v>5.4</v>
      </c>
      <c r="R124" s="9">
        <f>IFERROR(VLOOKUP(E124,Sheet6!$A$2:$B$500,2,FALSE),0)</f>
        <v>0</v>
      </c>
      <c r="S124" s="41">
        <f>IFERROR(VLOOKUP(E124,Sheet6!$C$2:$D$35017,2,FALSE),0)</f>
        <v>0</v>
      </c>
      <c r="U124" s="9">
        <f>IFERROR(VLOOKUP(E124,Sheet2!$AA$1:$AB$975,2,FALSE),0)</f>
        <v>10</v>
      </c>
      <c r="V124" s="41">
        <f>IFERROR(VLOOKUP(E124,Sheet2!$AC$1:$AD$975,2,FALSE),0)</f>
        <v>120</v>
      </c>
      <c r="W124" s="42">
        <f>IFERROR(VLOOKUP(E124,Sheet2!$AE$1:$AF$975,2,FALSE),0)</f>
        <v>9</v>
      </c>
      <c r="X124" s="43">
        <f>IFERROR(VLOOKUP(E124,Sheet2!$AG$1:$AH$975,2,FALSE),0)</f>
        <v>0.9</v>
      </c>
      <c r="Z124" s="60">
        <f>IFERROR(VLOOKUP(F124,Sheet2!$AA$1:$AB$975,2,FALSE),0)</f>
        <v>0</v>
      </c>
      <c r="AA124" s="64">
        <f>IFERROR(VLOOKUP(F124,Sheet2!$AC$1:$AD$975,2,FALSE),0)</f>
        <v>0</v>
      </c>
      <c r="AB124" s="65">
        <f>IFERROR(VLOOKUP(F124,Sheet2!$AE$2:$AF$6539,2,FALSE),0)</f>
        <v>0</v>
      </c>
      <c r="AC124" s="43">
        <f>IFERROR(VLOOKUP(F124,Sheet2!$AG$2:$AH$6539,2,FALSE),0)</f>
        <v>0</v>
      </c>
      <c r="AE124" s="112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f t="shared" si="4"/>
        <v>0</v>
      </c>
      <c r="AK124" s="45">
        <f t="shared" si="5"/>
        <v>0</v>
      </c>
      <c r="AL124" s="68">
        <v>0</v>
      </c>
      <c r="AM124" s="68">
        <v>30</v>
      </c>
    </row>
    <row r="125" spans="1:39" x14ac:dyDescent="0.2">
      <c r="A125" s="57" t="s">
        <v>2082</v>
      </c>
      <c r="B125" s="47">
        <v>46173</v>
      </c>
      <c r="C125" s="48"/>
      <c r="D125" s="48" t="s">
        <v>1332</v>
      </c>
      <c r="E125" s="49" t="s">
        <v>287</v>
      </c>
      <c r="F125" s="49" t="s">
        <v>288</v>
      </c>
      <c r="G125" s="47" t="e">
        <v>#N/A</v>
      </c>
      <c r="H125" s="47" t="s">
        <v>22</v>
      </c>
      <c r="I125" s="9" t="s">
        <v>283</v>
      </c>
      <c r="J125" s="40" t="s">
        <v>1836</v>
      </c>
      <c r="K125" s="9" t="s">
        <v>24</v>
      </c>
      <c r="L125" s="9" t="s">
        <v>32</v>
      </c>
      <c r="M125" s="11"/>
      <c r="N125" s="11"/>
      <c r="O125" s="50">
        <v>5.4</v>
      </c>
      <c r="R125" s="9">
        <f>IFERROR(VLOOKUP(E125,Sheet6!$A$2:$B$500,2,FALSE),0)</f>
        <v>1</v>
      </c>
      <c r="S125" s="41">
        <f>IFERROR(VLOOKUP(E125,Sheet6!$C$2:$D$35017,2,FALSE),0)</f>
        <v>12</v>
      </c>
      <c r="U125" s="9">
        <f>IFERROR(VLOOKUP(E125,Sheet2!$AA$1:$AB$975,2,FALSE),0)</f>
        <v>21</v>
      </c>
      <c r="V125" s="41">
        <f>IFERROR(VLOOKUP(E125,Sheet2!$AC$1:$AD$975,2,FALSE),0)</f>
        <v>252</v>
      </c>
      <c r="W125" s="42">
        <f>IFERROR(VLOOKUP(E125,Sheet2!$AE$1:$AF$975,2,FALSE),0)</f>
        <v>120</v>
      </c>
      <c r="X125" s="43">
        <f>IFERROR(VLOOKUP(E125,Sheet2!$AG$1:$AH$975,2,FALSE),0)</f>
        <v>0.98129999999999995</v>
      </c>
      <c r="Z125" s="60">
        <f>IFERROR(VLOOKUP(F125,Sheet2!$AA$1:$AB$975,2,FALSE),0)</f>
        <v>0</v>
      </c>
      <c r="AA125" s="64">
        <f>IFERROR(VLOOKUP(F125,Sheet2!$AC$1:$AD$975,2,FALSE),0)</f>
        <v>0</v>
      </c>
      <c r="AB125" s="65">
        <f>IFERROR(VLOOKUP(F125,Sheet2!$AE$2:$AF$6539,2,FALSE),0)</f>
        <v>0</v>
      </c>
      <c r="AC125" s="43">
        <f>IFERROR(VLOOKUP(F125,Sheet2!$AG$2:$AH$6539,2,FALSE),0)</f>
        <v>0</v>
      </c>
      <c r="AE125" s="112">
        <v>1</v>
      </c>
      <c r="AF125" s="9">
        <v>0</v>
      </c>
      <c r="AG125" s="9">
        <v>0</v>
      </c>
      <c r="AH125" s="9">
        <v>0</v>
      </c>
      <c r="AI125" s="9">
        <v>0</v>
      </c>
      <c r="AJ125" s="9">
        <f t="shared" si="4"/>
        <v>1</v>
      </c>
      <c r="AK125" s="45">
        <f t="shared" si="5"/>
        <v>5.4</v>
      </c>
      <c r="AL125" s="68">
        <v>0</v>
      </c>
      <c r="AM125" s="68">
        <v>0</v>
      </c>
    </row>
    <row r="126" spans="1:39" x14ac:dyDescent="0.2">
      <c r="A126" s="57" t="s">
        <v>2082</v>
      </c>
      <c r="B126" s="47">
        <v>46173</v>
      </c>
      <c r="C126" s="48"/>
      <c r="D126" s="48" t="s">
        <v>1333</v>
      </c>
      <c r="E126" s="49" t="s">
        <v>289</v>
      </c>
      <c r="F126" s="49" t="s">
        <v>290</v>
      </c>
      <c r="G126" s="47" t="e">
        <v>#N/A</v>
      </c>
      <c r="H126" s="47" t="s">
        <v>22</v>
      </c>
      <c r="I126" s="9" t="s">
        <v>283</v>
      </c>
      <c r="J126" s="40" t="s">
        <v>1836</v>
      </c>
      <c r="K126" s="9" t="s">
        <v>24</v>
      </c>
      <c r="L126" s="9" t="s">
        <v>35</v>
      </c>
      <c r="M126" s="11"/>
      <c r="N126" s="11"/>
      <c r="O126" s="50">
        <v>5.4</v>
      </c>
      <c r="R126" s="9">
        <f>IFERROR(VLOOKUP(E126,Sheet6!$A$2:$B$500,2,FALSE),0)</f>
        <v>1</v>
      </c>
      <c r="S126" s="41">
        <f>IFERROR(VLOOKUP(E126,Sheet6!$C$2:$D$35017,2,FALSE),0)</f>
        <v>10.199999999999999</v>
      </c>
      <c r="U126" s="9">
        <f>IFERROR(VLOOKUP(E126,Sheet2!$AA$1:$AB$975,2,FALSE),0)</f>
        <v>15</v>
      </c>
      <c r="V126" s="41">
        <f>IFERROR(VLOOKUP(E126,Sheet2!$AC$1:$AD$975,2,FALSE),0)</f>
        <v>180</v>
      </c>
      <c r="W126" s="42">
        <f>IFERROR(VLOOKUP(E126,Sheet2!$AE$1:$AF$975,2,FALSE),0)</f>
        <v>43</v>
      </c>
      <c r="X126" s="43">
        <f>IFERROR(VLOOKUP(E126,Sheet2!$AG$1:$AH$975,2,FALSE),0)</f>
        <v>0.96879999999999999</v>
      </c>
      <c r="Z126" s="60">
        <f>IFERROR(VLOOKUP(F126,Sheet2!$AA$1:$AB$975,2,FALSE),0)</f>
        <v>0</v>
      </c>
      <c r="AA126" s="64">
        <f>IFERROR(VLOOKUP(F126,Sheet2!$AC$1:$AD$975,2,FALSE),0)</f>
        <v>0</v>
      </c>
      <c r="AB126" s="65">
        <f>IFERROR(VLOOKUP(F126,Sheet2!$AE$2:$AF$6539,2,FALSE),0)</f>
        <v>0</v>
      </c>
      <c r="AC126" s="43">
        <f>IFERROR(VLOOKUP(F126,Sheet2!$AG$2:$AH$6539,2,FALSE),0)</f>
        <v>0</v>
      </c>
      <c r="AE126" s="112">
        <v>5</v>
      </c>
      <c r="AF126" s="9">
        <v>0</v>
      </c>
      <c r="AG126" s="9">
        <v>0</v>
      </c>
      <c r="AH126" s="9">
        <v>0</v>
      </c>
      <c r="AI126" s="9">
        <v>0</v>
      </c>
      <c r="AJ126" s="9">
        <f t="shared" si="4"/>
        <v>5</v>
      </c>
      <c r="AK126" s="45">
        <f t="shared" si="5"/>
        <v>27</v>
      </c>
      <c r="AL126" s="68">
        <v>0</v>
      </c>
      <c r="AM126" s="68">
        <v>0</v>
      </c>
    </row>
    <row r="127" spans="1:39" x14ac:dyDescent="0.2">
      <c r="A127" s="57" t="s">
        <v>2082</v>
      </c>
      <c r="B127" s="47">
        <v>46173</v>
      </c>
      <c r="C127" s="48"/>
      <c r="D127" s="48" t="s">
        <v>1334</v>
      </c>
      <c r="E127" s="49" t="s">
        <v>1025</v>
      </c>
      <c r="F127" s="49" t="s">
        <v>1085</v>
      </c>
      <c r="G127" s="47" t="e">
        <v>#N/A</v>
      </c>
      <c r="H127" s="47" t="s">
        <v>22</v>
      </c>
      <c r="I127" s="40" t="s">
        <v>293</v>
      </c>
      <c r="J127" s="40" t="s">
        <v>1668</v>
      </c>
      <c r="K127" s="40" t="s">
        <v>248</v>
      </c>
      <c r="L127" s="9" t="s">
        <v>29</v>
      </c>
      <c r="M127" s="11"/>
      <c r="N127" s="11"/>
      <c r="O127" s="50">
        <v>8.2080000000000002</v>
      </c>
      <c r="R127" s="9">
        <f>IFERROR(VLOOKUP(E127,Sheet6!$A$2:$B$500,2,FALSE),0)</f>
        <v>0</v>
      </c>
      <c r="S127" s="41">
        <f>IFERROR(VLOOKUP(E127,Sheet6!$C$2:$D$35017,2,FALSE),0)</f>
        <v>0</v>
      </c>
      <c r="U127" s="9">
        <f>IFERROR(VLOOKUP(E127,Sheet2!$AA$1:$AB$975,2,FALSE),0)</f>
        <v>0</v>
      </c>
      <c r="V127" s="41">
        <f>IFERROR(VLOOKUP(E127,Sheet2!$AC$1:$AD$975,2,FALSE),0)</f>
        <v>0</v>
      </c>
      <c r="W127" s="42">
        <f>IFERROR(VLOOKUP(E127,Sheet2!$AE$1:$AF$975,2,FALSE),0)</f>
        <v>0</v>
      </c>
      <c r="X127" s="43">
        <f>IFERROR(VLOOKUP(E127,Sheet2!$AG$1:$AH$975,2,FALSE),0)</f>
        <v>0</v>
      </c>
      <c r="Z127" s="60">
        <f>IFERROR(VLOOKUP(F127,Sheet2!$AA$1:$AB$975,2,FALSE),0)</f>
        <v>1</v>
      </c>
      <c r="AA127" s="64">
        <f>IFERROR(VLOOKUP(F127,Sheet2!$AC$1:$AD$975,2,FALSE),0)</f>
        <v>19</v>
      </c>
      <c r="AB127" s="65">
        <f>IFERROR(VLOOKUP(F127,Sheet2!$AE$2:$AF$6539,2,FALSE),0)</f>
        <v>25</v>
      </c>
      <c r="AC127" s="43">
        <f>IFERROR(VLOOKUP(F127,Sheet2!$AG$2:$AH$6539,2,FALSE),0)</f>
        <v>1</v>
      </c>
      <c r="AE127" s="112">
        <v>6</v>
      </c>
      <c r="AF127" s="9">
        <v>23</v>
      </c>
      <c r="AG127" s="9">
        <v>0</v>
      </c>
      <c r="AH127" s="9">
        <v>0</v>
      </c>
      <c r="AI127" s="9">
        <v>23</v>
      </c>
      <c r="AJ127" s="9">
        <f t="shared" si="4"/>
        <v>29</v>
      </c>
      <c r="AK127" s="45">
        <f t="shared" si="5"/>
        <v>238.03200000000001</v>
      </c>
      <c r="AL127" s="68">
        <v>0</v>
      </c>
      <c r="AM127" s="68">
        <v>0</v>
      </c>
    </row>
    <row r="128" spans="1:39" x14ac:dyDescent="0.2">
      <c r="A128" s="57" t="s">
        <v>2082</v>
      </c>
      <c r="B128" s="47">
        <v>46173</v>
      </c>
      <c r="C128" s="48"/>
      <c r="D128" s="48" t="s">
        <v>1335</v>
      </c>
      <c r="E128" s="49" t="s">
        <v>291</v>
      </c>
      <c r="F128" s="49" t="s">
        <v>292</v>
      </c>
      <c r="G128" s="47" t="e">
        <v>#N/A</v>
      </c>
      <c r="H128" s="47" t="s">
        <v>22</v>
      </c>
      <c r="I128" s="40" t="s">
        <v>293</v>
      </c>
      <c r="J128" s="40" t="s">
        <v>1668</v>
      </c>
      <c r="K128" s="40" t="s">
        <v>248</v>
      </c>
      <c r="L128" s="40" t="s">
        <v>32</v>
      </c>
      <c r="M128" s="11"/>
      <c r="N128" s="11"/>
      <c r="O128" s="50">
        <v>8.2080000000000002</v>
      </c>
      <c r="R128" s="9">
        <f>IFERROR(VLOOKUP(E128,Sheet6!$A$2:$B$500,2,FALSE),0)</f>
        <v>0</v>
      </c>
      <c r="S128" s="41">
        <f>IFERROR(VLOOKUP(E128,Sheet6!$C$2:$D$35017,2,FALSE),0)</f>
        <v>0</v>
      </c>
      <c r="U128" s="9">
        <f>IFERROR(VLOOKUP(E128,Sheet2!$AA$1:$AB$975,2,FALSE),0)</f>
        <v>0</v>
      </c>
      <c r="V128" s="41">
        <f>IFERROR(VLOOKUP(E128,Sheet2!$AC$1:$AD$975,2,FALSE),0)</f>
        <v>0</v>
      </c>
      <c r="W128" s="42">
        <f>IFERROR(VLOOKUP(E128,Sheet2!$AE$1:$AF$975,2,FALSE),0)</f>
        <v>0</v>
      </c>
      <c r="X128" s="43">
        <f>IFERROR(VLOOKUP(E128,Sheet2!$AG$1:$AH$975,2,FALSE),0)</f>
        <v>0</v>
      </c>
      <c r="Z128" s="60">
        <f>IFERROR(VLOOKUP(F128,Sheet2!$AA$1:$AB$975,2,FALSE),0)</f>
        <v>0</v>
      </c>
      <c r="AA128" s="64">
        <f>IFERROR(VLOOKUP(F128,Sheet2!$AC$1:$AD$975,2,FALSE),0)</f>
        <v>0</v>
      </c>
      <c r="AB128" s="65">
        <f>IFERROR(VLOOKUP(F128,Sheet2!$AE$2:$AF$6539,2,FALSE),0)</f>
        <v>0</v>
      </c>
      <c r="AC128" s="43">
        <f>IFERROR(VLOOKUP(F128,Sheet2!$AG$2:$AH$6539,2,FALSE),0)</f>
        <v>0</v>
      </c>
      <c r="AE128" s="112">
        <v>144</v>
      </c>
      <c r="AF128" s="9">
        <v>0</v>
      </c>
      <c r="AG128" s="9">
        <v>0</v>
      </c>
      <c r="AH128" s="9">
        <v>0</v>
      </c>
      <c r="AI128" s="9">
        <v>0</v>
      </c>
      <c r="AJ128" s="9">
        <f t="shared" si="4"/>
        <v>144</v>
      </c>
      <c r="AK128" s="45">
        <f t="shared" si="5"/>
        <v>1181.952</v>
      </c>
      <c r="AL128" s="68">
        <v>6</v>
      </c>
      <c r="AM128" s="68">
        <v>30</v>
      </c>
    </row>
    <row r="129" spans="1:39" x14ac:dyDescent="0.2">
      <c r="A129" s="57" t="s">
        <v>2082</v>
      </c>
      <c r="B129" s="47">
        <v>46173</v>
      </c>
      <c r="C129" s="48"/>
      <c r="D129" s="48" t="s">
        <v>1336</v>
      </c>
      <c r="E129" s="49" t="s">
        <v>294</v>
      </c>
      <c r="F129" s="49" t="s">
        <v>295</v>
      </c>
      <c r="G129" s="47" t="e">
        <v>#N/A</v>
      </c>
      <c r="H129" s="47" t="s">
        <v>22</v>
      </c>
      <c r="I129" s="40" t="s">
        <v>293</v>
      </c>
      <c r="J129" s="40" t="s">
        <v>1668</v>
      </c>
      <c r="K129" s="40" t="s">
        <v>248</v>
      </c>
      <c r="L129" s="40" t="s">
        <v>35</v>
      </c>
      <c r="M129" s="11"/>
      <c r="N129" s="11"/>
      <c r="O129" s="50">
        <v>8.2080000000000002</v>
      </c>
      <c r="R129" s="9">
        <f>IFERROR(VLOOKUP(E129,Sheet6!$A$2:$B$500,2,FALSE),0)</f>
        <v>0</v>
      </c>
      <c r="S129" s="41">
        <f>IFERROR(VLOOKUP(E129,Sheet6!$C$2:$D$35017,2,FALSE),0)</f>
        <v>0</v>
      </c>
      <c r="U129" s="9">
        <f>IFERROR(VLOOKUP(E129,Sheet2!$AA$1:$AB$975,2,FALSE),0)</f>
        <v>4</v>
      </c>
      <c r="V129" s="41">
        <f>IFERROR(VLOOKUP(E129,Sheet2!$AC$1:$AD$975,2,FALSE),0)</f>
        <v>76</v>
      </c>
      <c r="W129" s="42">
        <f>IFERROR(VLOOKUP(E129,Sheet2!$AE$1:$AF$975,2,FALSE),0)</f>
        <v>14</v>
      </c>
      <c r="X129" s="43">
        <f>IFERROR(VLOOKUP(E129,Sheet2!$AG$1:$AH$975,2,FALSE),0)</f>
        <v>0.28570000000000001</v>
      </c>
      <c r="Z129" s="60">
        <f>IFERROR(VLOOKUP(F129,Sheet2!$AA$1:$AB$975,2,FALSE),0)</f>
        <v>0</v>
      </c>
      <c r="AA129" s="64">
        <f>IFERROR(VLOOKUP(F129,Sheet2!$AC$1:$AD$975,2,FALSE),0)</f>
        <v>0</v>
      </c>
      <c r="AB129" s="65">
        <f>IFERROR(VLOOKUP(F129,Sheet2!$AE$2:$AF$6539,2,FALSE),0)</f>
        <v>0</v>
      </c>
      <c r="AC129" s="43">
        <f>IFERROR(VLOOKUP(F129,Sheet2!$AG$2:$AH$6539,2,FALSE),0)</f>
        <v>0</v>
      </c>
      <c r="AE129" s="112">
        <v>57</v>
      </c>
      <c r="AF129" s="9">
        <v>0</v>
      </c>
      <c r="AG129" s="9">
        <v>0</v>
      </c>
      <c r="AH129" s="9">
        <v>0</v>
      </c>
      <c r="AI129" s="9">
        <v>0</v>
      </c>
      <c r="AJ129" s="9">
        <f t="shared" si="4"/>
        <v>57</v>
      </c>
      <c r="AK129" s="45">
        <f t="shared" si="5"/>
        <v>467.85599999999999</v>
      </c>
      <c r="AL129" s="68">
        <v>6</v>
      </c>
      <c r="AM129" s="68">
        <v>0</v>
      </c>
    </row>
    <row r="130" spans="1:39" x14ac:dyDescent="0.2">
      <c r="A130" s="57" t="s">
        <v>2082</v>
      </c>
      <c r="B130" s="47">
        <v>46173</v>
      </c>
      <c r="C130" s="48"/>
      <c r="D130" s="48" t="s">
        <v>1337</v>
      </c>
      <c r="E130" s="49" t="s">
        <v>296</v>
      </c>
      <c r="F130" s="49" t="s">
        <v>297</v>
      </c>
      <c r="G130" s="47" t="e">
        <v>#N/A</v>
      </c>
      <c r="H130" s="47" t="s">
        <v>22</v>
      </c>
      <c r="I130" s="40" t="s">
        <v>293</v>
      </c>
      <c r="J130" s="40" t="s">
        <v>1668</v>
      </c>
      <c r="K130" s="40" t="s">
        <v>41</v>
      </c>
      <c r="L130" s="40" t="s">
        <v>32</v>
      </c>
      <c r="M130" s="11"/>
      <c r="N130" s="11"/>
      <c r="O130" s="50">
        <v>8.2080000000000002</v>
      </c>
      <c r="R130" s="9">
        <f>IFERROR(VLOOKUP(E130,Sheet6!$A$2:$B$500,2,FALSE),0)</f>
        <v>0</v>
      </c>
      <c r="S130" s="41">
        <f>IFERROR(VLOOKUP(E130,Sheet6!$C$2:$D$35017,2,FALSE),0)</f>
        <v>0</v>
      </c>
      <c r="U130" s="9">
        <f>IFERROR(VLOOKUP(E130,Sheet2!$AA$1:$AB$975,2,FALSE),0)</f>
        <v>0</v>
      </c>
      <c r="V130" s="41">
        <f>IFERROR(VLOOKUP(E130,Sheet2!$AC$1:$AD$975,2,FALSE),0)</f>
        <v>0</v>
      </c>
      <c r="W130" s="42">
        <f>IFERROR(VLOOKUP(E130,Sheet2!$AE$1:$AF$975,2,FALSE),0)</f>
        <v>0</v>
      </c>
      <c r="X130" s="43">
        <f>IFERROR(VLOOKUP(E130,Sheet2!$AG$1:$AH$975,2,FALSE),0)</f>
        <v>0</v>
      </c>
      <c r="Z130" s="60">
        <f>IFERROR(VLOOKUP(F130,Sheet2!$AA$1:$AB$975,2,FALSE),0)</f>
        <v>2</v>
      </c>
      <c r="AA130" s="64">
        <f>IFERROR(VLOOKUP(F130,Sheet2!$AC$1:$AD$975,2,FALSE),0)</f>
        <v>38</v>
      </c>
      <c r="AB130" s="65">
        <f>IFERROR(VLOOKUP(F130,Sheet2!$AE$2:$AF$6539,2,FALSE),0)</f>
        <v>17</v>
      </c>
      <c r="AC130" s="43">
        <f>IFERROR(VLOOKUP(F130,Sheet2!$AG$2:$AH$6539,2,FALSE),0)</f>
        <v>0.875</v>
      </c>
      <c r="AE130" s="112">
        <v>59</v>
      </c>
      <c r="AF130" s="9">
        <v>19</v>
      </c>
      <c r="AG130" s="9">
        <v>0</v>
      </c>
      <c r="AH130" s="9">
        <v>0</v>
      </c>
      <c r="AI130" s="9">
        <v>19</v>
      </c>
      <c r="AJ130" s="9">
        <f t="shared" si="4"/>
        <v>78</v>
      </c>
      <c r="AK130" s="45">
        <f t="shared" si="5"/>
        <v>640.22400000000005</v>
      </c>
      <c r="AL130" s="68">
        <v>0</v>
      </c>
      <c r="AM130" s="68">
        <v>0</v>
      </c>
    </row>
    <row r="131" spans="1:39" x14ac:dyDescent="0.2">
      <c r="A131" s="57" t="s">
        <v>2082</v>
      </c>
      <c r="B131" s="47">
        <v>46173</v>
      </c>
      <c r="C131" s="48"/>
      <c r="D131" s="48" t="s">
        <v>1338</v>
      </c>
      <c r="E131" s="49" t="s">
        <v>298</v>
      </c>
      <c r="F131" s="49" t="s">
        <v>299</v>
      </c>
      <c r="G131" s="47" t="e">
        <v>#N/A</v>
      </c>
      <c r="H131" s="47" t="s">
        <v>22</v>
      </c>
      <c r="I131" s="40" t="s">
        <v>293</v>
      </c>
      <c r="J131" s="40" t="s">
        <v>1668</v>
      </c>
      <c r="K131" s="40" t="s">
        <v>41</v>
      </c>
      <c r="L131" s="40" t="s">
        <v>35</v>
      </c>
      <c r="M131" s="11"/>
      <c r="N131" s="11"/>
      <c r="O131" s="50">
        <v>8.2080000000000002</v>
      </c>
      <c r="R131" s="9">
        <f>IFERROR(VLOOKUP(E131,Sheet6!$A$2:$B$500,2,FALSE),0)</f>
        <v>0</v>
      </c>
      <c r="S131" s="41">
        <f>IFERROR(VLOOKUP(E131,Sheet6!$C$2:$D$35017,2,FALSE),0)</f>
        <v>0</v>
      </c>
      <c r="U131" s="9">
        <f>IFERROR(VLOOKUP(E131,Sheet2!$AA$1:$AB$975,2,FALSE),0)</f>
        <v>0</v>
      </c>
      <c r="V131" s="41">
        <f>IFERROR(VLOOKUP(E131,Sheet2!$AC$1:$AD$975,2,FALSE),0)</f>
        <v>0</v>
      </c>
      <c r="W131" s="42">
        <f>IFERROR(VLOOKUP(E131,Sheet2!$AE$1:$AF$975,2,FALSE),0)</f>
        <v>0</v>
      </c>
      <c r="X131" s="43">
        <f>IFERROR(VLOOKUP(E131,Sheet2!$AG$1:$AH$975,2,FALSE),0)</f>
        <v>0</v>
      </c>
      <c r="Z131" s="60">
        <f>IFERROR(VLOOKUP(F131,Sheet2!$AA$1:$AB$975,2,FALSE),0)</f>
        <v>0</v>
      </c>
      <c r="AA131" s="64">
        <f>IFERROR(VLOOKUP(F131,Sheet2!$AC$1:$AD$975,2,FALSE),0)</f>
        <v>0</v>
      </c>
      <c r="AB131" s="65">
        <f>IFERROR(VLOOKUP(F131,Sheet2!$AE$2:$AF$6539,2,FALSE),0)</f>
        <v>0</v>
      </c>
      <c r="AC131" s="43">
        <f>IFERROR(VLOOKUP(F131,Sheet2!$AG$2:$AH$6539,2,FALSE),0)</f>
        <v>0</v>
      </c>
      <c r="AE131" s="112">
        <v>56</v>
      </c>
      <c r="AF131" s="9">
        <v>2</v>
      </c>
      <c r="AG131" s="9">
        <v>0</v>
      </c>
      <c r="AH131" s="9">
        <v>0</v>
      </c>
      <c r="AI131" s="9">
        <v>2</v>
      </c>
      <c r="AJ131" s="9">
        <f t="shared" si="4"/>
        <v>58</v>
      </c>
      <c r="AK131" s="45">
        <f t="shared" si="5"/>
        <v>476.06400000000002</v>
      </c>
      <c r="AL131" s="68">
        <v>0</v>
      </c>
      <c r="AM131" s="68">
        <v>0</v>
      </c>
    </row>
    <row r="132" spans="1:39" x14ac:dyDescent="0.2">
      <c r="A132" s="57" t="s">
        <v>2082</v>
      </c>
      <c r="B132" s="47">
        <v>46173</v>
      </c>
      <c r="C132" s="48"/>
      <c r="D132" s="48" t="s">
        <v>1339</v>
      </c>
      <c r="E132" s="51" t="s">
        <v>300</v>
      </c>
      <c r="F132" s="49" t="s">
        <v>301</v>
      </c>
      <c r="G132" s="47" t="e">
        <v>#N/A</v>
      </c>
      <c r="H132" s="47" t="s">
        <v>22</v>
      </c>
      <c r="I132" s="40" t="s">
        <v>302</v>
      </c>
      <c r="J132" s="40" t="s">
        <v>1756</v>
      </c>
      <c r="K132" s="9" t="s">
        <v>303</v>
      </c>
      <c r="L132" s="9" t="s">
        <v>29</v>
      </c>
      <c r="M132" s="11"/>
      <c r="N132" s="11"/>
      <c r="O132" s="50">
        <v>9.072000000000001</v>
      </c>
      <c r="R132" s="9">
        <f>IFERROR(VLOOKUP(E132,Sheet6!$A$2:$B$500,2,FALSE),0)</f>
        <v>0</v>
      </c>
      <c r="S132" s="41">
        <f>IFERROR(VLOOKUP(E132,Sheet6!$C$2:$D$35017,2,FALSE),0)</f>
        <v>0</v>
      </c>
      <c r="U132" s="9">
        <f>IFERROR(VLOOKUP(E132,Sheet2!$AA$1:$AB$975,2,FALSE),0)</f>
        <v>0</v>
      </c>
      <c r="V132" s="41">
        <f>IFERROR(VLOOKUP(E132,Sheet2!$AC$1:$AD$975,2,FALSE),0)</f>
        <v>0</v>
      </c>
      <c r="W132" s="42">
        <f>IFERROR(VLOOKUP(E132,Sheet2!$AE$1:$AF$975,2,FALSE),0)</f>
        <v>0</v>
      </c>
      <c r="X132" s="43">
        <f>IFERROR(VLOOKUP(E132,Sheet2!$AG$1:$AH$975,2,FALSE),0)</f>
        <v>0</v>
      </c>
      <c r="Z132" s="60">
        <f>IFERROR(VLOOKUP(F132,Sheet2!$AA$1:$AB$975,2,FALSE),0)</f>
        <v>1</v>
      </c>
      <c r="AA132" s="64">
        <f>IFERROR(VLOOKUP(F132,Sheet2!$AC$1:$AD$975,2,FALSE),0)</f>
        <v>20.99</v>
      </c>
      <c r="AB132" s="65">
        <f>IFERROR(VLOOKUP(F132,Sheet2!$AE$2:$AF$6539,2,FALSE),0)</f>
        <v>4</v>
      </c>
      <c r="AC132" s="43">
        <f>IFERROR(VLOOKUP(F132,Sheet2!$AG$2:$AH$6539,2,FALSE),0)</f>
        <v>1</v>
      </c>
      <c r="AE132" s="112">
        <v>12</v>
      </c>
      <c r="AF132" s="9">
        <v>5</v>
      </c>
      <c r="AG132" s="9">
        <v>0</v>
      </c>
      <c r="AH132" s="9">
        <v>0</v>
      </c>
      <c r="AI132" s="9">
        <v>5</v>
      </c>
      <c r="AJ132" s="9">
        <f t="shared" ref="AJ132:AJ195" si="6">SUM(AE132+AI132)</f>
        <v>17</v>
      </c>
      <c r="AK132" s="45">
        <f t="shared" ref="AK132:AK195" si="7">SUM(AJ132*O132)</f>
        <v>154.22400000000002</v>
      </c>
      <c r="AL132" s="68">
        <v>0</v>
      </c>
      <c r="AM132" s="68">
        <v>0</v>
      </c>
    </row>
    <row r="133" spans="1:39" x14ac:dyDescent="0.2">
      <c r="A133" s="57" t="s">
        <v>2082</v>
      </c>
      <c r="B133" s="47">
        <v>46173</v>
      </c>
      <c r="C133" s="48"/>
      <c r="D133" s="48" t="s">
        <v>1340</v>
      </c>
      <c r="E133" s="51" t="s">
        <v>304</v>
      </c>
      <c r="F133" s="49" t="s">
        <v>305</v>
      </c>
      <c r="G133" s="47" t="s">
        <v>957</v>
      </c>
      <c r="H133" s="47" t="s">
        <v>22</v>
      </c>
      <c r="I133" s="40" t="s">
        <v>302</v>
      </c>
      <c r="J133" s="40" t="s">
        <v>1756</v>
      </c>
      <c r="K133" s="9" t="s">
        <v>303</v>
      </c>
      <c r="L133" s="9" t="s">
        <v>32</v>
      </c>
      <c r="M133" s="11"/>
      <c r="N133" s="11"/>
      <c r="O133" s="50">
        <v>9.072000000000001</v>
      </c>
      <c r="R133" s="9">
        <f>IFERROR(VLOOKUP(E133,Sheet6!$A$2:$B$500,2,FALSE),0)</f>
        <v>0</v>
      </c>
      <c r="S133" s="41">
        <f>IFERROR(VLOOKUP(E133,Sheet6!$C$2:$D$35017,2,FALSE),0)</f>
        <v>0</v>
      </c>
      <c r="U133" s="9">
        <f>IFERROR(VLOOKUP(E133,Sheet2!$AA$1:$AB$975,2,FALSE),0)</f>
        <v>0</v>
      </c>
      <c r="V133" s="41">
        <f>IFERROR(VLOOKUP(E133,Sheet2!$AC$1:$AD$975,2,FALSE),0)</f>
        <v>0</v>
      </c>
      <c r="W133" s="42">
        <f>IFERROR(VLOOKUP(E133,Sheet2!$AE$1:$AF$975,2,FALSE),0)</f>
        <v>0</v>
      </c>
      <c r="X133" s="43">
        <f>IFERROR(VLOOKUP(E133,Sheet2!$AG$1:$AH$975,2,FALSE),0)</f>
        <v>0</v>
      </c>
      <c r="Z133" s="60">
        <f>IFERROR(VLOOKUP(F133,Sheet2!$AA$1:$AB$975,2,FALSE),0)</f>
        <v>0</v>
      </c>
      <c r="AA133" s="64">
        <f>IFERROR(VLOOKUP(F133,Sheet2!$AC$1:$AD$975,2,FALSE),0)</f>
        <v>0</v>
      </c>
      <c r="AB133" s="65">
        <f>IFERROR(VLOOKUP(F133,Sheet2!$AE$2:$AF$6539,2,FALSE),0)</f>
        <v>0</v>
      </c>
      <c r="AC133" s="43">
        <f>IFERROR(VLOOKUP(F133,Sheet2!$AG$2:$AH$6539,2,FALSE),0)</f>
        <v>0</v>
      </c>
      <c r="AE133" s="112">
        <v>2</v>
      </c>
      <c r="AF133" s="9">
        <v>10</v>
      </c>
      <c r="AG133" s="9">
        <v>0</v>
      </c>
      <c r="AH133" s="9">
        <v>0</v>
      </c>
      <c r="AI133" s="9">
        <v>10</v>
      </c>
      <c r="AJ133" s="9">
        <f t="shared" si="6"/>
        <v>12</v>
      </c>
      <c r="AK133" s="45">
        <f t="shared" si="7"/>
        <v>108.864</v>
      </c>
      <c r="AL133" s="68">
        <v>0</v>
      </c>
      <c r="AM133" s="68">
        <v>0</v>
      </c>
    </row>
    <row r="134" spans="1:39" x14ac:dyDescent="0.2">
      <c r="A134" s="57" t="s">
        <v>2082</v>
      </c>
      <c r="B134" s="47">
        <v>46173</v>
      </c>
      <c r="C134" s="108"/>
      <c r="D134" s="48" t="s">
        <v>1341</v>
      </c>
      <c r="E134" s="51" t="s">
        <v>306</v>
      </c>
      <c r="F134" s="51" t="s">
        <v>307</v>
      </c>
      <c r="G134" s="47" t="e">
        <v>#N/A</v>
      </c>
      <c r="H134" s="47" t="s">
        <v>22</v>
      </c>
      <c r="I134" s="9" t="s">
        <v>302</v>
      </c>
      <c r="J134" s="40" t="s">
        <v>1756</v>
      </c>
      <c r="K134" s="40" t="s">
        <v>308</v>
      </c>
      <c r="L134" s="40" t="s">
        <v>29</v>
      </c>
      <c r="M134" s="11"/>
      <c r="N134" s="11"/>
      <c r="O134" s="50">
        <v>9.072000000000001</v>
      </c>
      <c r="R134" s="9">
        <f>IFERROR(VLOOKUP(E134,Sheet6!$A$2:$B$500,2,FALSE),0)</f>
        <v>0</v>
      </c>
      <c r="S134" s="41">
        <f>IFERROR(VLOOKUP(E134,Sheet6!$C$2:$D$35017,2,FALSE),0)</f>
        <v>0</v>
      </c>
      <c r="U134" s="9">
        <f>IFERROR(VLOOKUP(E134,Sheet2!$AA$1:$AB$975,2,FALSE),0)</f>
        <v>0</v>
      </c>
      <c r="V134" s="41">
        <f>IFERROR(VLOOKUP(E134,Sheet2!$AC$1:$AD$975,2,FALSE),0)</f>
        <v>0</v>
      </c>
      <c r="W134" s="42">
        <f>IFERROR(VLOOKUP(E134,Sheet2!$AE$1:$AF$975,2,FALSE),0)</f>
        <v>0</v>
      </c>
      <c r="X134" s="43">
        <f>IFERROR(VLOOKUP(E134,Sheet2!$AG$1:$AH$975,2,FALSE),0)</f>
        <v>0</v>
      </c>
      <c r="Z134" s="60">
        <f>IFERROR(VLOOKUP(F134,Sheet2!$AA$1:$AB$975,2,FALSE),0)</f>
        <v>0</v>
      </c>
      <c r="AA134" s="64">
        <f>IFERROR(VLOOKUP(F134,Sheet2!$AC$1:$AD$975,2,FALSE),0)</f>
        <v>0</v>
      </c>
      <c r="AB134" s="65">
        <f>IFERROR(VLOOKUP(F134,Sheet2!$AE$2:$AF$6539,2,FALSE),0)</f>
        <v>0</v>
      </c>
      <c r="AC134" s="43">
        <f>IFERROR(VLOOKUP(F134,Sheet2!$AG$2:$AH$6539,2,FALSE),0)</f>
        <v>0</v>
      </c>
      <c r="AE134" s="112">
        <v>12</v>
      </c>
      <c r="AF134" s="9">
        <v>0</v>
      </c>
      <c r="AG134" s="9">
        <v>0</v>
      </c>
      <c r="AH134" s="9">
        <v>0</v>
      </c>
      <c r="AI134" s="9">
        <v>0</v>
      </c>
      <c r="AJ134" s="9">
        <f t="shared" si="6"/>
        <v>12</v>
      </c>
      <c r="AK134" s="45">
        <f t="shared" si="7"/>
        <v>108.864</v>
      </c>
      <c r="AL134" s="68">
        <v>0</v>
      </c>
      <c r="AM134" s="68">
        <v>0</v>
      </c>
    </row>
    <row r="135" spans="1:39" x14ac:dyDescent="0.2">
      <c r="A135" s="57" t="s">
        <v>2082</v>
      </c>
      <c r="B135" s="47">
        <v>46173</v>
      </c>
      <c r="C135" s="48"/>
      <c r="D135" s="48" t="s">
        <v>1342</v>
      </c>
      <c r="E135" s="51" t="s">
        <v>309</v>
      </c>
      <c r="F135" s="51" t="s">
        <v>310</v>
      </c>
      <c r="G135" s="47" t="e">
        <v>#N/A</v>
      </c>
      <c r="H135" s="47" t="s">
        <v>22</v>
      </c>
      <c r="I135" s="40" t="s">
        <v>302</v>
      </c>
      <c r="J135" s="40" t="s">
        <v>1756</v>
      </c>
      <c r="K135" s="40" t="s">
        <v>308</v>
      </c>
      <c r="L135" s="40" t="s">
        <v>32</v>
      </c>
      <c r="M135" s="11"/>
      <c r="N135" s="11"/>
      <c r="O135" s="50">
        <v>9.072000000000001</v>
      </c>
      <c r="R135" s="9">
        <f>IFERROR(VLOOKUP(E135,Sheet6!$A$2:$B$500,2,FALSE),0)</f>
        <v>0</v>
      </c>
      <c r="S135" s="41">
        <f>IFERROR(VLOOKUP(E135,Sheet6!$C$2:$D$35017,2,FALSE),0)</f>
        <v>0</v>
      </c>
      <c r="U135" s="9">
        <f>IFERROR(VLOOKUP(E135,Sheet2!$AA$1:$AB$975,2,FALSE),0)</f>
        <v>0</v>
      </c>
      <c r="V135" s="41">
        <f>IFERROR(VLOOKUP(E135,Sheet2!$AC$1:$AD$975,2,FALSE),0)</f>
        <v>0</v>
      </c>
      <c r="W135" s="42">
        <f>IFERROR(VLOOKUP(E135,Sheet2!$AE$1:$AF$975,2,FALSE),0)</f>
        <v>0</v>
      </c>
      <c r="X135" s="43">
        <f>IFERROR(VLOOKUP(E135,Sheet2!$AG$1:$AH$975,2,FALSE),0)</f>
        <v>0</v>
      </c>
      <c r="Z135" s="60">
        <f>IFERROR(VLOOKUP(F135,Sheet2!$AA$1:$AB$975,2,FALSE),0)</f>
        <v>4</v>
      </c>
      <c r="AA135" s="64">
        <f>IFERROR(VLOOKUP(F135,Sheet2!$AC$1:$AD$975,2,FALSE),0)</f>
        <v>83.96</v>
      </c>
      <c r="AB135" s="65">
        <f>IFERROR(VLOOKUP(F135,Sheet2!$AE$2:$AF$6539,2,FALSE),0)</f>
        <v>31</v>
      </c>
      <c r="AC135" s="43">
        <f>IFERROR(VLOOKUP(F135,Sheet2!$AG$2:$AH$6539,2,FALSE),0)</f>
        <v>1</v>
      </c>
      <c r="AE135" s="112">
        <v>10</v>
      </c>
      <c r="AF135" s="9">
        <v>18</v>
      </c>
      <c r="AG135" s="9">
        <v>0</v>
      </c>
      <c r="AH135" s="9">
        <v>0</v>
      </c>
      <c r="AI135" s="9">
        <v>18</v>
      </c>
      <c r="AJ135" s="9">
        <f t="shared" si="6"/>
        <v>28</v>
      </c>
      <c r="AK135" s="45">
        <f t="shared" si="7"/>
        <v>254.01600000000002</v>
      </c>
      <c r="AL135" s="68">
        <v>0</v>
      </c>
      <c r="AM135" s="68">
        <v>0</v>
      </c>
    </row>
    <row r="136" spans="1:39" x14ac:dyDescent="0.2">
      <c r="A136" s="57" t="s">
        <v>2082</v>
      </c>
      <c r="B136" s="47">
        <v>46173</v>
      </c>
      <c r="C136" s="48"/>
      <c r="D136" s="48" t="s">
        <v>1343</v>
      </c>
      <c r="E136" s="51" t="s">
        <v>311</v>
      </c>
      <c r="F136" s="51" t="s">
        <v>312</v>
      </c>
      <c r="G136" s="47" t="e">
        <v>#N/A</v>
      </c>
      <c r="H136" s="47" t="s">
        <v>22</v>
      </c>
      <c r="I136" s="40" t="s">
        <v>302</v>
      </c>
      <c r="J136" s="40" t="s">
        <v>1756</v>
      </c>
      <c r="K136" s="40" t="s">
        <v>205</v>
      </c>
      <c r="L136" s="40" t="s">
        <v>29</v>
      </c>
      <c r="M136" s="11"/>
      <c r="N136" s="11"/>
      <c r="O136" s="50">
        <v>9.072000000000001</v>
      </c>
      <c r="R136" s="9">
        <f>IFERROR(VLOOKUP(E136,Sheet6!$A$2:$B$500,2,FALSE),0)</f>
        <v>0</v>
      </c>
      <c r="S136" s="41">
        <f>IFERROR(VLOOKUP(E136,Sheet6!$C$2:$D$35017,2,FALSE),0)</f>
        <v>0</v>
      </c>
      <c r="U136" s="9">
        <f>IFERROR(VLOOKUP(E136,Sheet2!$AA$1:$AB$975,2,FALSE),0)</f>
        <v>0</v>
      </c>
      <c r="V136" s="41">
        <f>IFERROR(VLOOKUP(E136,Sheet2!$AC$1:$AD$975,2,FALSE),0)</f>
        <v>0</v>
      </c>
      <c r="W136" s="42">
        <f>IFERROR(VLOOKUP(E136,Sheet2!$AE$1:$AF$975,2,FALSE),0)</f>
        <v>0</v>
      </c>
      <c r="X136" s="43">
        <f>IFERROR(VLOOKUP(E136,Sheet2!$AG$1:$AH$975,2,FALSE),0)</f>
        <v>0</v>
      </c>
      <c r="Z136" s="60">
        <f>IFERROR(VLOOKUP(F136,Sheet2!$AA$1:$AB$975,2,FALSE),0)</f>
        <v>4</v>
      </c>
      <c r="AA136" s="64">
        <f>IFERROR(VLOOKUP(F136,Sheet2!$AC$1:$AD$975,2,FALSE),0)</f>
        <v>83.96</v>
      </c>
      <c r="AB136" s="65">
        <f>IFERROR(VLOOKUP(F136,Sheet2!$AE$2:$AF$6539,2,FALSE),0)</f>
        <v>57</v>
      </c>
      <c r="AC136" s="43">
        <f>IFERROR(VLOOKUP(F136,Sheet2!$AG$2:$AH$6539,2,FALSE),0)</f>
        <v>0.66669999999999996</v>
      </c>
      <c r="AE136" s="112">
        <v>11</v>
      </c>
      <c r="AF136" s="9">
        <v>8</v>
      </c>
      <c r="AG136" s="9">
        <v>0</v>
      </c>
      <c r="AH136" s="9">
        <v>0</v>
      </c>
      <c r="AI136" s="9">
        <v>8</v>
      </c>
      <c r="AJ136" s="9">
        <f t="shared" si="6"/>
        <v>19</v>
      </c>
      <c r="AK136" s="45">
        <f t="shared" si="7"/>
        <v>172.36800000000002</v>
      </c>
      <c r="AL136" s="68">
        <v>0</v>
      </c>
      <c r="AM136" s="68">
        <v>0</v>
      </c>
    </row>
    <row r="137" spans="1:39" x14ac:dyDescent="0.2">
      <c r="A137" s="57" t="s">
        <v>2082</v>
      </c>
      <c r="B137" s="47">
        <v>46173</v>
      </c>
      <c r="C137" s="48"/>
      <c r="D137" s="48" t="s">
        <v>1344</v>
      </c>
      <c r="E137" s="51" t="s">
        <v>313</v>
      </c>
      <c r="F137" s="51" t="s">
        <v>314</v>
      </c>
      <c r="G137" s="47" t="e">
        <v>#N/A</v>
      </c>
      <c r="H137" s="47" t="s">
        <v>94</v>
      </c>
      <c r="I137" s="40" t="s">
        <v>302</v>
      </c>
      <c r="J137" s="40" t="s">
        <v>1756</v>
      </c>
      <c r="K137" s="40" t="s">
        <v>205</v>
      </c>
      <c r="L137" s="40" t="s">
        <v>32</v>
      </c>
      <c r="M137" s="11"/>
      <c r="N137" s="11"/>
      <c r="O137" s="50">
        <v>9.072000000000001</v>
      </c>
      <c r="R137" s="9">
        <f>IFERROR(VLOOKUP(E137,Sheet6!$A$2:$B$500,2,FALSE),0)</f>
        <v>3</v>
      </c>
      <c r="S137" s="41">
        <f>IFERROR(VLOOKUP(E137,Sheet6!$C$2:$D$35017,2,FALSE),0)</f>
        <v>63</v>
      </c>
      <c r="U137" s="9">
        <f>IFERROR(VLOOKUP(E137,Sheet2!$AA$1:$AB$975,2,FALSE),0)</f>
        <v>0</v>
      </c>
      <c r="V137" s="41">
        <f>IFERROR(VLOOKUP(E137,Sheet2!$AC$1:$AD$975,2,FALSE),0)</f>
        <v>0</v>
      </c>
      <c r="W137" s="42">
        <f>IFERROR(VLOOKUP(E137,Sheet2!$AE$1:$AF$975,2,FALSE),0)</f>
        <v>0</v>
      </c>
      <c r="X137" s="43">
        <f>IFERROR(VLOOKUP(E137,Sheet2!$AG$1:$AH$975,2,FALSE),0)</f>
        <v>0</v>
      </c>
      <c r="Z137" s="60">
        <f>IFERROR(VLOOKUP(F137,Sheet2!$AA$1:$AB$975,2,FALSE),0)</f>
        <v>17</v>
      </c>
      <c r="AA137" s="64">
        <f>IFERROR(VLOOKUP(F137,Sheet2!$AC$1:$AD$975,2,FALSE),0)</f>
        <v>356.83</v>
      </c>
      <c r="AB137" s="65">
        <f>IFERROR(VLOOKUP(F137,Sheet2!$AE$2:$AF$6539,2,FALSE),0)</f>
        <v>46</v>
      </c>
      <c r="AC137" s="43">
        <f>IFERROR(VLOOKUP(F137,Sheet2!$AG$2:$AH$6539,2,FALSE),0)</f>
        <v>0.98280000000000001</v>
      </c>
      <c r="AE137" s="112">
        <v>26</v>
      </c>
      <c r="AF137" s="9">
        <v>51</v>
      </c>
      <c r="AG137" s="9">
        <v>0</v>
      </c>
      <c r="AH137" s="9">
        <v>1</v>
      </c>
      <c r="AI137" s="9">
        <v>52</v>
      </c>
      <c r="AJ137" s="9">
        <f t="shared" si="6"/>
        <v>78</v>
      </c>
      <c r="AK137" s="45">
        <f t="shared" si="7"/>
        <v>707.6160000000001</v>
      </c>
      <c r="AL137" s="68">
        <v>0</v>
      </c>
      <c r="AM137" s="68">
        <v>30</v>
      </c>
    </row>
    <row r="138" spans="1:39" x14ac:dyDescent="0.2">
      <c r="A138" s="57" t="s">
        <v>2082</v>
      </c>
      <c r="B138" s="47">
        <v>46173</v>
      </c>
      <c r="C138" s="48"/>
      <c r="D138" s="48" t="s">
        <v>1345</v>
      </c>
      <c r="E138" s="51" t="s">
        <v>315</v>
      </c>
      <c r="F138" s="51" t="s">
        <v>316</v>
      </c>
      <c r="G138" s="47" t="e">
        <v>#N/A</v>
      </c>
      <c r="H138" s="47" t="s">
        <v>94</v>
      </c>
      <c r="I138" s="40" t="s">
        <v>302</v>
      </c>
      <c r="J138" s="40" t="s">
        <v>1756</v>
      </c>
      <c r="K138" s="40" t="s">
        <v>205</v>
      </c>
      <c r="L138" s="40" t="s">
        <v>35</v>
      </c>
      <c r="M138" s="11"/>
      <c r="N138" s="11"/>
      <c r="O138" s="50">
        <v>9.072000000000001</v>
      </c>
      <c r="R138" s="9">
        <f>IFERROR(VLOOKUP(E138,Sheet6!$A$2:$B$500,2,FALSE),0)</f>
        <v>0</v>
      </c>
      <c r="S138" s="41">
        <f>IFERROR(VLOOKUP(E138,Sheet6!$C$2:$D$35017,2,FALSE),0)</f>
        <v>0</v>
      </c>
      <c r="U138" s="9">
        <f>IFERROR(VLOOKUP(E138,Sheet2!$AA$1:$AB$975,2,FALSE),0)</f>
        <v>0</v>
      </c>
      <c r="V138" s="41">
        <f>IFERROR(VLOOKUP(E138,Sheet2!$AC$1:$AD$975,2,FALSE),0)</f>
        <v>0</v>
      </c>
      <c r="W138" s="42">
        <f>IFERROR(VLOOKUP(E138,Sheet2!$AE$1:$AF$975,2,FALSE),0)</f>
        <v>0</v>
      </c>
      <c r="X138" s="43">
        <f>IFERROR(VLOOKUP(E138,Sheet2!$AG$1:$AH$975,2,FALSE),0)</f>
        <v>0</v>
      </c>
      <c r="Z138" s="60">
        <f>IFERROR(VLOOKUP(F138,Sheet2!$AA$1:$AB$975,2,FALSE),0)</f>
        <v>7</v>
      </c>
      <c r="AA138" s="64">
        <f>IFERROR(VLOOKUP(F138,Sheet2!$AC$1:$AD$975,2,FALSE),0)</f>
        <v>146.93</v>
      </c>
      <c r="AB138" s="65">
        <f>IFERROR(VLOOKUP(F138,Sheet2!$AE$2:$AF$6539,2,FALSE),0)</f>
        <v>39</v>
      </c>
      <c r="AC138" s="43">
        <f>IFERROR(VLOOKUP(F138,Sheet2!$AG$2:$AH$6539,2,FALSE),0)</f>
        <v>0.97729999999999995</v>
      </c>
      <c r="AE138" s="112">
        <v>18</v>
      </c>
      <c r="AF138" s="9">
        <v>29</v>
      </c>
      <c r="AG138" s="9">
        <v>0</v>
      </c>
      <c r="AH138" s="9">
        <v>2</v>
      </c>
      <c r="AI138" s="9">
        <v>31</v>
      </c>
      <c r="AJ138" s="9">
        <f t="shared" si="6"/>
        <v>49</v>
      </c>
      <c r="AK138" s="45">
        <f t="shared" si="7"/>
        <v>444.52800000000002</v>
      </c>
      <c r="AL138" s="68">
        <v>6</v>
      </c>
      <c r="AM138" s="68">
        <v>0</v>
      </c>
    </row>
    <row r="139" spans="1:39" x14ac:dyDescent="0.2">
      <c r="A139" s="57" t="s">
        <v>2082</v>
      </c>
      <c r="B139" s="47">
        <v>46173</v>
      </c>
      <c r="C139" s="48"/>
      <c r="D139" s="48" t="s">
        <v>1346</v>
      </c>
      <c r="E139" s="49" t="s">
        <v>318</v>
      </c>
      <c r="F139" s="49" t="s">
        <v>319</v>
      </c>
      <c r="G139" s="47" t="e">
        <v>#N/A</v>
      </c>
      <c r="H139" s="47" t="s">
        <v>94</v>
      </c>
      <c r="I139" s="9" t="s">
        <v>320</v>
      </c>
      <c r="J139" s="40" t="s">
        <v>1108</v>
      </c>
      <c r="K139" s="9" t="s">
        <v>321</v>
      </c>
      <c r="L139" s="9" t="s">
        <v>29</v>
      </c>
      <c r="M139" s="11"/>
      <c r="N139" s="11"/>
      <c r="O139" s="50">
        <v>8.64</v>
      </c>
      <c r="R139" s="9">
        <f>IFERROR(VLOOKUP(E139,Sheet6!$A$2:$B$500,2,FALSE),0)</f>
        <v>0</v>
      </c>
      <c r="S139" s="41">
        <f>IFERROR(VLOOKUP(E139,Sheet6!$C$2:$D$35017,2,FALSE),0)</f>
        <v>0</v>
      </c>
      <c r="U139" s="9">
        <f>IFERROR(VLOOKUP(E139,Sheet2!$AA$1:$AB$975,2,FALSE),0)</f>
        <v>2</v>
      </c>
      <c r="V139" s="41">
        <f>IFERROR(VLOOKUP(E139,Sheet2!$AC$1:$AD$975,2,FALSE),0)</f>
        <v>39.979999999999997</v>
      </c>
      <c r="W139" s="42">
        <f>IFERROR(VLOOKUP(E139,Sheet2!$AE$1:$AF$975,2,FALSE),0)</f>
        <v>110</v>
      </c>
      <c r="X139" s="43">
        <f>IFERROR(VLOOKUP(E139,Sheet2!$AG$1:$AH$975,2,FALSE),0)</f>
        <v>0.8296</v>
      </c>
      <c r="Z139" s="60">
        <f>IFERROR(VLOOKUP(F139,Sheet2!$AA$1:$AB$975,2,FALSE),0)</f>
        <v>11</v>
      </c>
      <c r="AA139" s="64">
        <f>IFERROR(VLOOKUP(F139,Sheet2!$AC$1:$AD$975,2,FALSE),0)</f>
        <v>219.89</v>
      </c>
      <c r="AB139" s="65">
        <f>IFERROR(VLOOKUP(F139,Sheet2!$AE$2:$AF$6539,2,FALSE),0)</f>
        <v>110</v>
      </c>
      <c r="AC139" s="43">
        <f>IFERROR(VLOOKUP(F139,Sheet2!$AG$2:$AH$6539,2,FALSE),0)</f>
        <v>0.8296</v>
      </c>
      <c r="AE139" s="112">
        <v>27</v>
      </c>
      <c r="AF139" s="9">
        <v>19</v>
      </c>
      <c r="AG139" s="9">
        <v>0</v>
      </c>
      <c r="AH139" s="9">
        <v>0</v>
      </c>
      <c r="AI139" s="9">
        <v>19</v>
      </c>
      <c r="AJ139" s="9">
        <f t="shared" si="6"/>
        <v>46</v>
      </c>
      <c r="AK139" s="45">
        <f t="shared" si="7"/>
        <v>397.44000000000005</v>
      </c>
      <c r="AL139" s="68">
        <v>12</v>
      </c>
      <c r="AM139" s="68">
        <v>0</v>
      </c>
    </row>
    <row r="140" spans="1:39" x14ac:dyDescent="0.2">
      <c r="A140" s="57" t="s">
        <v>2082</v>
      </c>
      <c r="B140" s="47">
        <v>46173</v>
      </c>
      <c r="C140" s="48"/>
      <c r="D140" s="48" t="s">
        <v>1347</v>
      </c>
      <c r="E140" s="49" t="s">
        <v>322</v>
      </c>
      <c r="F140" s="49" t="s">
        <v>323</v>
      </c>
      <c r="G140" s="47" t="e">
        <v>#N/A</v>
      </c>
      <c r="H140" s="47" t="s">
        <v>94</v>
      </c>
      <c r="I140" s="40" t="s">
        <v>320</v>
      </c>
      <c r="J140" s="40" t="s">
        <v>1108</v>
      </c>
      <c r="K140" s="9" t="s">
        <v>321</v>
      </c>
      <c r="L140" s="9" t="s">
        <v>32</v>
      </c>
      <c r="M140" s="11"/>
      <c r="N140" s="11"/>
      <c r="O140" s="50">
        <v>8.64</v>
      </c>
      <c r="R140" s="9">
        <f>IFERROR(VLOOKUP(E140,Sheet6!$A$2:$B$500,2,FALSE),0)</f>
        <v>1</v>
      </c>
      <c r="S140" s="41">
        <f>IFERROR(VLOOKUP(E140,Sheet6!$C$2:$D$35017,2,FALSE),0)</f>
        <v>20</v>
      </c>
      <c r="U140" s="9">
        <f>IFERROR(VLOOKUP(E140,Sheet2!$AA$1:$AB$975,2,FALSE),0)</f>
        <v>0</v>
      </c>
      <c r="V140" s="41">
        <f>IFERROR(VLOOKUP(E140,Sheet2!$AC$1:$AD$975,2,FALSE),0)</f>
        <v>0</v>
      </c>
      <c r="W140" s="42">
        <f>IFERROR(VLOOKUP(E140,Sheet2!$AE$1:$AF$975,2,FALSE),0)</f>
        <v>0</v>
      </c>
      <c r="X140" s="43">
        <f>IFERROR(VLOOKUP(E140,Sheet2!$AG$1:$AH$975,2,FALSE),0)</f>
        <v>0</v>
      </c>
      <c r="Z140" s="60">
        <f>IFERROR(VLOOKUP(F140,Sheet2!$AA$1:$AB$975,2,FALSE),0)</f>
        <v>13</v>
      </c>
      <c r="AA140" s="64">
        <f>IFERROR(VLOOKUP(F140,Sheet2!$AC$1:$AD$975,2,FALSE),0)</f>
        <v>259.87</v>
      </c>
      <c r="AB140" s="65">
        <f>IFERROR(VLOOKUP(F140,Sheet2!$AE$2:$AF$6539,2,FALSE),0)</f>
        <v>207</v>
      </c>
      <c r="AC140" s="43">
        <f>IFERROR(VLOOKUP(F140,Sheet2!$AG$2:$AH$6539,2,FALSE),0)</f>
        <v>0.33860000000000001</v>
      </c>
      <c r="AE140" s="112">
        <v>47</v>
      </c>
      <c r="AF140" s="9">
        <v>0</v>
      </c>
      <c r="AG140" s="9">
        <v>0</v>
      </c>
      <c r="AH140" s="9">
        <v>12</v>
      </c>
      <c r="AI140" s="9">
        <v>12</v>
      </c>
      <c r="AJ140" s="9">
        <f t="shared" si="6"/>
        <v>59</v>
      </c>
      <c r="AK140" s="45">
        <f t="shared" si="7"/>
        <v>509.76000000000005</v>
      </c>
      <c r="AL140" s="68">
        <v>60</v>
      </c>
      <c r="AM140" s="68">
        <v>12</v>
      </c>
    </row>
    <row r="141" spans="1:39" x14ac:dyDescent="0.2">
      <c r="A141" s="57" t="s">
        <v>2082</v>
      </c>
      <c r="B141" s="47">
        <v>46173</v>
      </c>
      <c r="C141" s="48"/>
      <c r="D141" s="48" t="s">
        <v>1348</v>
      </c>
      <c r="E141" s="49" t="s">
        <v>324</v>
      </c>
      <c r="F141" s="49" t="s">
        <v>325</v>
      </c>
      <c r="G141" s="47" t="e">
        <v>#N/A</v>
      </c>
      <c r="H141" s="47" t="s">
        <v>94</v>
      </c>
      <c r="I141" s="40" t="s">
        <v>320</v>
      </c>
      <c r="J141" s="40" t="s">
        <v>1108</v>
      </c>
      <c r="K141" s="9" t="s">
        <v>321</v>
      </c>
      <c r="L141" s="9" t="s">
        <v>35</v>
      </c>
      <c r="M141" s="11"/>
      <c r="N141" s="11"/>
      <c r="O141" s="50">
        <v>8.64</v>
      </c>
      <c r="R141" s="9">
        <f>IFERROR(VLOOKUP(E141,Sheet6!$A$2:$B$500,2,FALSE),0)</f>
        <v>0</v>
      </c>
      <c r="S141" s="41">
        <f>IFERROR(VLOOKUP(E141,Sheet6!$C$2:$D$35017,2,FALSE),0)</f>
        <v>0</v>
      </c>
      <c r="U141" s="9">
        <f>IFERROR(VLOOKUP(E141,Sheet2!$AA$1:$AB$975,2,FALSE),0)</f>
        <v>0</v>
      </c>
      <c r="V141" s="41">
        <f>IFERROR(VLOOKUP(E141,Sheet2!$AC$1:$AD$975,2,FALSE),0)</f>
        <v>0</v>
      </c>
      <c r="W141" s="42">
        <f>IFERROR(VLOOKUP(E141,Sheet2!$AE$1:$AF$975,2,FALSE),0)</f>
        <v>0</v>
      </c>
      <c r="X141" s="43">
        <f>IFERROR(VLOOKUP(E141,Sheet2!$AG$1:$AH$975,2,FALSE),0)</f>
        <v>0</v>
      </c>
      <c r="Z141" s="60">
        <f>IFERROR(VLOOKUP(F141,Sheet2!$AA$1:$AB$975,2,FALSE),0)</f>
        <v>16</v>
      </c>
      <c r="AA141" s="64">
        <f>IFERROR(VLOOKUP(F141,Sheet2!$AC$1:$AD$975,2,FALSE),0)</f>
        <v>319.83999999999997</v>
      </c>
      <c r="AB141" s="65">
        <f>IFERROR(VLOOKUP(F141,Sheet2!$AE$2:$AF$6539,2,FALSE),0)</f>
        <v>139</v>
      </c>
      <c r="AC141" s="43">
        <f>IFERROR(VLOOKUP(F141,Sheet2!$AG$2:$AH$6539,2,FALSE),0)</f>
        <v>0.57220000000000004</v>
      </c>
      <c r="AE141" s="112">
        <v>148</v>
      </c>
      <c r="AF141" s="9">
        <v>12</v>
      </c>
      <c r="AG141" s="9">
        <v>0</v>
      </c>
      <c r="AH141" s="9">
        <v>0</v>
      </c>
      <c r="AI141" s="9">
        <v>12</v>
      </c>
      <c r="AJ141" s="9">
        <f t="shared" si="6"/>
        <v>160</v>
      </c>
      <c r="AK141" s="45">
        <f t="shared" si="7"/>
        <v>1382.4</v>
      </c>
      <c r="AL141" s="68">
        <v>12</v>
      </c>
      <c r="AM141" s="68">
        <v>60</v>
      </c>
    </row>
    <row r="142" spans="1:39" x14ac:dyDescent="0.2">
      <c r="A142" s="57" t="s">
        <v>2082</v>
      </c>
      <c r="B142" s="47">
        <v>46173</v>
      </c>
      <c r="C142" s="48"/>
      <c r="D142" s="48" t="s">
        <v>1349</v>
      </c>
      <c r="E142" s="49" t="s">
        <v>326</v>
      </c>
      <c r="F142" s="49" t="s">
        <v>327</v>
      </c>
      <c r="G142" s="47" t="e">
        <v>#N/A</v>
      </c>
      <c r="H142" s="47" t="s">
        <v>94</v>
      </c>
      <c r="I142" s="9" t="s">
        <v>320</v>
      </c>
      <c r="J142" s="40" t="s">
        <v>1108</v>
      </c>
      <c r="K142" s="9" t="s">
        <v>328</v>
      </c>
      <c r="L142" s="9" t="s">
        <v>29</v>
      </c>
      <c r="M142" s="11"/>
      <c r="N142" s="11"/>
      <c r="O142" s="50">
        <v>8.64</v>
      </c>
      <c r="R142" s="9">
        <f>IFERROR(VLOOKUP(E142,Sheet6!$A$2:$B$500,2,FALSE),0)</f>
        <v>0</v>
      </c>
      <c r="S142" s="41">
        <f>IFERROR(VLOOKUP(E142,Sheet6!$C$2:$D$35017,2,FALSE),0)</f>
        <v>0</v>
      </c>
      <c r="U142" s="9">
        <f>IFERROR(VLOOKUP(E142,Sheet2!$AA$1:$AB$975,2,FALSE),0)</f>
        <v>0</v>
      </c>
      <c r="V142" s="41">
        <f>IFERROR(VLOOKUP(E142,Sheet2!$AC$1:$AD$975,2,FALSE),0)</f>
        <v>0</v>
      </c>
      <c r="W142" s="42">
        <f>IFERROR(VLOOKUP(E142,Sheet2!$AE$1:$AF$975,2,FALSE),0)</f>
        <v>0</v>
      </c>
      <c r="X142" s="43">
        <f>IFERROR(VLOOKUP(E142,Sheet2!$AG$1:$AH$975,2,FALSE),0)</f>
        <v>0</v>
      </c>
      <c r="Z142" s="60">
        <f>IFERROR(VLOOKUP(F142,Sheet2!$AA$1:$AB$975,2,FALSE),0)</f>
        <v>0</v>
      </c>
      <c r="AA142" s="64">
        <f>IFERROR(VLOOKUP(F142,Sheet2!$AC$1:$AD$975,2,FALSE),0)</f>
        <v>0</v>
      </c>
      <c r="AB142" s="65">
        <f>IFERROR(VLOOKUP(F142,Sheet2!$AE$2:$AF$6539,2,FALSE),0)</f>
        <v>0</v>
      </c>
      <c r="AC142" s="43">
        <f>IFERROR(VLOOKUP(F142,Sheet2!$AG$2:$AH$6539,2,FALSE),0)</f>
        <v>0</v>
      </c>
      <c r="AE142" s="112">
        <v>0</v>
      </c>
      <c r="AF142" s="9">
        <v>0</v>
      </c>
      <c r="AG142" s="9">
        <v>0</v>
      </c>
      <c r="AH142" s="9">
        <v>0</v>
      </c>
      <c r="AI142" s="9">
        <v>0</v>
      </c>
      <c r="AJ142" s="9">
        <f t="shared" si="6"/>
        <v>0</v>
      </c>
      <c r="AK142" s="45">
        <f t="shared" si="7"/>
        <v>0</v>
      </c>
      <c r="AL142" s="68">
        <v>18</v>
      </c>
      <c r="AM142" s="68">
        <v>39</v>
      </c>
    </row>
    <row r="143" spans="1:39" x14ac:dyDescent="0.2">
      <c r="A143" s="57" t="s">
        <v>2082</v>
      </c>
      <c r="B143" s="47">
        <v>46173</v>
      </c>
      <c r="C143" s="48"/>
      <c r="D143" s="48" t="s">
        <v>1350</v>
      </c>
      <c r="E143" s="49" t="s">
        <v>329</v>
      </c>
      <c r="F143" s="49" t="s">
        <v>330</v>
      </c>
      <c r="G143" s="47" t="e">
        <v>#N/A</v>
      </c>
      <c r="H143" s="47" t="s">
        <v>94</v>
      </c>
      <c r="I143" s="40" t="s">
        <v>320</v>
      </c>
      <c r="J143" s="40" t="s">
        <v>1108</v>
      </c>
      <c r="K143" s="9" t="s">
        <v>331</v>
      </c>
      <c r="L143" s="9" t="s">
        <v>29</v>
      </c>
      <c r="M143" s="11"/>
      <c r="N143" s="11"/>
      <c r="O143" s="50">
        <v>8.64</v>
      </c>
      <c r="R143" s="9">
        <f>IFERROR(VLOOKUP(E143,Sheet6!$A$2:$B$500,2,FALSE),0)</f>
        <v>0</v>
      </c>
      <c r="S143" s="41">
        <f>IFERROR(VLOOKUP(E143,Sheet6!$C$2:$D$35017,2,FALSE),0)</f>
        <v>0</v>
      </c>
      <c r="U143" s="9">
        <f>IFERROR(VLOOKUP(E143,Sheet2!$AA$1:$AB$975,2,FALSE),0)</f>
        <v>0</v>
      </c>
      <c r="V143" s="41">
        <f>IFERROR(VLOOKUP(E143,Sheet2!$AC$1:$AD$975,2,FALSE),0)</f>
        <v>0</v>
      </c>
      <c r="W143" s="42">
        <f>IFERROR(VLOOKUP(E143,Sheet2!$AE$1:$AF$975,2,FALSE),0)</f>
        <v>0</v>
      </c>
      <c r="X143" s="43">
        <f>IFERROR(VLOOKUP(E143,Sheet2!$AG$1:$AH$975,2,FALSE),0)</f>
        <v>0</v>
      </c>
      <c r="Z143" s="60">
        <f>IFERROR(VLOOKUP(F143,Sheet2!$AA$1:$AB$975,2,FALSE),0)</f>
        <v>0</v>
      </c>
      <c r="AA143" s="64">
        <f>IFERROR(VLOOKUP(F143,Sheet2!$AC$1:$AD$975,2,FALSE),0)</f>
        <v>0</v>
      </c>
      <c r="AB143" s="65">
        <f>IFERROR(VLOOKUP(F143,Sheet2!$AE$2:$AF$6539,2,FALSE),0)</f>
        <v>0</v>
      </c>
      <c r="AC143" s="43">
        <f>IFERROR(VLOOKUP(F143,Sheet2!$AG$2:$AH$6539,2,FALSE),0)</f>
        <v>0</v>
      </c>
      <c r="AE143" s="112">
        <v>40</v>
      </c>
      <c r="AF143" s="9">
        <v>0</v>
      </c>
      <c r="AG143" s="9">
        <v>0</v>
      </c>
      <c r="AH143" s="9">
        <v>0</v>
      </c>
      <c r="AI143" s="9">
        <v>0</v>
      </c>
      <c r="AJ143" s="9">
        <f t="shared" si="6"/>
        <v>40</v>
      </c>
      <c r="AK143" s="45">
        <f t="shared" si="7"/>
        <v>345.6</v>
      </c>
      <c r="AL143" s="68">
        <v>12</v>
      </c>
      <c r="AM143" s="68">
        <v>0</v>
      </c>
    </row>
    <row r="144" spans="1:39" x14ac:dyDescent="0.2">
      <c r="A144" s="57" t="s">
        <v>2082</v>
      </c>
      <c r="B144" s="47">
        <v>46173</v>
      </c>
      <c r="C144" s="48"/>
      <c r="D144" s="48" t="s">
        <v>1351</v>
      </c>
      <c r="E144" s="49" t="s">
        <v>332</v>
      </c>
      <c r="F144" s="49" t="s">
        <v>333</v>
      </c>
      <c r="G144" s="47" t="e">
        <v>#N/A</v>
      </c>
      <c r="H144" s="47" t="s">
        <v>94</v>
      </c>
      <c r="I144" s="40" t="s">
        <v>320</v>
      </c>
      <c r="J144" s="40" t="s">
        <v>1108</v>
      </c>
      <c r="K144" s="9" t="s">
        <v>331</v>
      </c>
      <c r="L144" s="9" t="s">
        <v>32</v>
      </c>
      <c r="M144" s="11"/>
      <c r="N144" s="11"/>
      <c r="O144" s="50">
        <v>8.64</v>
      </c>
      <c r="R144" s="9">
        <f>IFERROR(VLOOKUP(E144,Sheet6!$A$2:$B$500,2,FALSE),0)</f>
        <v>0</v>
      </c>
      <c r="S144" s="41">
        <f>IFERROR(VLOOKUP(E144,Sheet6!$C$2:$D$35017,2,FALSE),0)</f>
        <v>0</v>
      </c>
      <c r="U144" s="9">
        <f>IFERROR(VLOOKUP(E144,Sheet2!$AA$1:$AB$975,2,FALSE),0)</f>
        <v>0</v>
      </c>
      <c r="V144" s="41">
        <f>IFERROR(VLOOKUP(E144,Sheet2!$AC$1:$AD$975,2,FALSE),0)</f>
        <v>0</v>
      </c>
      <c r="W144" s="42">
        <f>IFERROR(VLOOKUP(E144,Sheet2!$AE$1:$AF$975,2,FALSE),0)</f>
        <v>0</v>
      </c>
      <c r="X144" s="43">
        <f>IFERROR(VLOOKUP(E144,Sheet2!$AG$1:$AH$975,2,FALSE),0)</f>
        <v>0</v>
      </c>
      <c r="Z144" s="60">
        <f>IFERROR(VLOOKUP(F144,Sheet2!$AA$1:$AB$975,2,FALSE),0)</f>
        <v>11</v>
      </c>
      <c r="AA144" s="64">
        <f>IFERROR(VLOOKUP(F144,Sheet2!$AC$1:$AD$975,2,FALSE),0)</f>
        <v>219.89</v>
      </c>
      <c r="AB144" s="65">
        <f>IFERROR(VLOOKUP(F144,Sheet2!$AE$2:$AF$6539,2,FALSE),0)</f>
        <v>116</v>
      </c>
      <c r="AC144" s="43">
        <f>IFERROR(VLOOKUP(F144,Sheet2!$AG$2:$AH$6539,2,FALSE),0)</f>
        <v>0.626</v>
      </c>
      <c r="AE144" s="112">
        <v>95</v>
      </c>
      <c r="AF144" s="9">
        <v>27</v>
      </c>
      <c r="AG144" s="9">
        <v>0</v>
      </c>
      <c r="AH144" s="9">
        <v>18</v>
      </c>
      <c r="AI144" s="9">
        <v>45</v>
      </c>
      <c r="AJ144" s="9">
        <f t="shared" si="6"/>
        <v>140</v>
      </c>
      <c r="AK144" s="45">
        <f t="shared" si="7"/>
        <v>1209.6000000000001</v>
      </c>
      <c r="AL144" s="68">
        <v>30</v>
      </c>
      <c r="AM144" s="68">
        <v>0</v>
      </c>
    </row>
    <row r="145" spans="1:39" x14ac:dyDescent="0.2">
      <c r="A145" s="57" t="s">
        <v>2082</v>
      </c>
      <c r="B145" s="47">
        <v>46173</v>
      </c>
      <c r="C145" s="48"/>
      <c r="D145" s="48" t="s">
        <v>1352</v>
      </c>
      <c r="E145" s="49" t="s">
        <v>334</v>
      </c>
      <c r="F145" s="49" t="s">
        <v>335</v>
      </c>
      <c r="G145" s="47" t="e">
        <v>#N/A</v>
      </c>
      <c r="H145" s="47" t="s">
        <v>94</v>
      </c>
      <c r="I145" s="40" t="s">
        <v>320</v>
      </c>
      <c r="J145" s="40" t="s">
        <v>1108</v>
      </c>
      <c r="K145" s="9" t="s">
        <v>331</v>
      </c>
      <c r="L145" s="9" t="s">
        <v>35</v>
      </c>
      <c r="M145" s="11"/>
      <c r="N145" s="11"/>
      <c r="O145" s="50">
        <v>8.64</v>
      </c>
      <c r="R145" s="9">
        <f>IFERROR(VLOOKUP(E145,Sheet6!$A$2:$B$500,2,FALSE),0)</f>
        <v>0</v>
      </c>
      <c r="S145" s="41">
        <f>IFERROR(VLOOKUP(E145,Sheet6!$C$2:$D$35017,2,FALSE),0)</f>
        <v>0</v>
      </c>
      <c r="U145" s="9">
        <f>IFERROR(VLOOKUP(E145,Sheet2!$AA$1:$AB$975,2,FALSE),0)</f>
        <v>0</v>
      </c>
      <c r="V145" s="41">
        <f>IFERROR(VLOOKUP(E145,Sheet2!$AC$1:$AD$975,2,FALSE),0)</f>
        <v>0</v>
      </c>
      <c r="W145" s="42">
        <f>IFERROR(VLOOKUP(E145,Sheet2!$AE$1:$AF$975,2,FALSE),0)</f>
        <v>0</v>
      </c>
      <c r="X145" s="43">
        <f>IFERROR(VLOOKUP(E145,Sheet2!$AG$1:$AH$975,2,FALSE),0)</f>
        <v>0</v>
      </c>
      <c r="Z145" s="60">
        <f>IFERROR(VLOOKUP(F145,Sheet2!$AA$1:$AB$975,2,FALSE),0)</f>
        <v>12</v>
      </c>
      <c r="AA145" s="64">
        <f>IFERROR(VLOOKUP(F145,Sheet2!$AC$1:$AD$975,2,FALSE),0)</f>
        <v>239.88</v>
      </c>
      <c r="AB145" s="65">
        <f>IFERROR(VLOOKUP(F145,Sheet2!$AE$2:$AF$6539,2,FALSE),0)</f>
        <v>90</v>
      </c>
      <c r="AC145" s="43">
        <f>IFERROR(VLOOKUP(F145,Sheet2!$AG$2:$AH$6539,2,FALSE),0)</f>
        <v>0.75239999999999996</v>
      </c>
      <c r="AE145" s="112">
        <v>29</v>
      </c>
      <c r="AF145" s="9">
        <v>8</v>
      </c>
      <c r="AG145" s="9">
        <v>0</v>
      </c>
      <c r="AH145" s="9">
        <v>0</v>
      </c>
      <c r="AI145" s="9">
        <v>8</v>
      </c>
      <c r="AJ145" s="9">
        <f t="shared" si="6"/>
        <v>37</v>
      </c>
      <c r="AK145" s="45">
        <f t="shared" si="7"/>
        <v>319.68</v>
      </c>
      <c r="AL145" s="68">
        <v>6</v>
      </c>
      <c r="AM145" s="68">
        <v>0</v>
      </c>
    </row>
    <row r="146" spans="1:39" x14ac:dyDescent="0.2">
      <c r="A146" s="57" t="s">
        <v>2082</v>
      </c>
      <c r="B146" s="47">
        <v>46173</v>
      </c>
      <c r="C146" s="48"/>
      <c r="D146" s="48" t="s">
        <v>1353</v>
      </c>
      <c r="E146" s="49" t="s">
        <v>336</v>
      </c>
      <c r="F146" s="49" t="s">
        <v>337</v>
      </c>
      <c r="G146" s="47" t="e">
        <v>#N/A</v>
      </c>
      <c r="H146" s="47" t="s">
        <v>94</v>
      </c>
      <c r="I146" s="40" t="s">
        <v>320</v>
      </c>
      <c r="J146" s="40" t="s">
        <v>1108</v>
      </c>
      <c r="K146" s="9" t="s">
        <v>338</v>
      </c>
      <c r="L146" s="9" t="s">
        <v>29</v>
      </c>
      <c r="M146" s="11"/>
      <c r="N146" s="11"/>
      <c r="O146" s="50">
        <v>8.64</v>
      </c>
      <c r="R146" s="9">
        <f>IFERROR(VLOOKUP(E146,Sheet6!$A$2:$B$500,2,FALSE),0)</f>
        <v>0</v>
      </c>
      <c r="S146" s="41">
        <f>IFERROR(VLOOKUP(E146,Sheet6!$C$2:$D$35017,2,FALSE),0)</f>
        <v>0</v>
      </c>
      <c r="U146" s="9">
        <f>IFERROR(VLOOKUP(E146,Sheet2!$AA$1:$AB$975,2,FALSE),0)</f>
        <v>0</v>
      </c>
      <c r="V146" s="41">
        <f>IFERROR(VLOOKUP(E146,Sheet2!$AC$1:$AD$975,2,FALSE),0)</f>
        <v>0</v>
      </c>
      <c r="W146" s="42">
        <f>IFERROR(VLOOKUP(E146,Sheet2!$AE$1:$AF$975,2,FALSE),0)</f>
        <v>0</v>
      </c>
      <c r="X146" s="43">
        <f>IFERROR(VLOOKUP(E146,Sheet2!$AG$1:$AH$975,2,FALSE),0)</f>
        <v>0</v>
      </c>
      <c r="Z146" s="60">
        <f>IFERROR(VLOOKUP(F146,Sheet2!$AA$1:$AB$975,2,FALSE),0)</f>
        <v>0</v>
      </c>
      <c r="AA146" s="64">
        <f>IFERROR(VLOOKUP(F146,Sheet2!$AC$1:$AD$975,2,FALSE),0)</f>
        <v>0</v>
      </c>
      <c r="AB146" s="65">
        <f>IFERROR(VLOOKUP(F146,Sheet2!$AE$2:$AF$6539,2,FALSE),0)</f>
        <v>0</v>
      </c>
      <c r="AC146" s="43">
        <f>IFERROR(VLOOKUP(F146,Sheet2!$AG$2:$AH$6539,2,FALSE),0)</f>
        <v>0</v>
      </c>
      <c r="AE146" s="112">
        <v>34</v>
      </c>
      <c r="AF146" s="9">
        <v>6</v>
      </c>
      <c r="AG146" s="9">
        <v>0</v>
      </c>
      <c r="AH146" s="9">
        <v>0</v>
      </c>
      <c r="AI146" s="9">
        <v>6</v>
      </c>
      <c r="AJ146" s="9">
        <f t="shared" si="6"/>
        <v>40</v>
      </c>
      <c r="AK146" s="45">
        <f t="shared" si="7"/>
        <v>345.6</v>
      </c>
      <c r="AL146" s="68">
        <v>0</v>
      </c>
      <c r="AM146" s="68">
        <v>0</v>
      </c>
    </row>
    <row r="147" spans="1:39" x14ac:dyDescent="0.2">
      <c r="A147" s="57" t="s">
        <v>2082</v>
      </c>
      <c r="B147" s="47">
        <v>46173</v>
      </c>
      <c r="C147" s="48"/>
      <c r="D147" s="48" t="s">
        <v>1354</v>
      </c>
      <c r="E147" s="49" t="s">
        <v>339</v>
      </c>
      <c r="F147" s="49" t="s">
        <v>340</v>
      </c>
      <c r="G147" s="47" t="e">
        <v>#N/A</v>
      </c>
      <c r="H147" s="47" t="s">
        <v>94</v>
      </c>
      <c r="I147" s="40" t="s">
        <v>320</v>
      </c>
      <c r="J147" s="40" t="s">
        <v>1108</v>
      </c>
      <c r="K147" s="9" t="s">
        <v>338</v>
      </c>
      <c r="L147" s="9" t="s">
        <v>32</v>
      </c>
      <c r="M147" s="11"/>
      <c r="N147" s="11"/>
      <c r="O147" s="50">
        <v>8.64</v>
      </c>
      <c r="R147" s="9">
        <f>IFERROR(VLOOKUP(E147,Sheet6!$A$2:$B$500,2,FALSE),0)</f>
        <v>1</v>
      </c>
      <c r="S147" s="41">
        <f>IFERROR(VLOOKUP(E147,Sheet6!$C$2:$D$35017,2,FALSE),0)</f>
        <v>20</v>
      </c>
      <c r="U147" s="9">
        <f>IFERROR(VLOOKUP(E147,Sheet2!$AA$1:$AB$975,2,FALSE),0)</f>
        <v>0</v>
      </c>
      <c r="V147" s="41">
        <f>IFERROR(VLOOKUP(E147,Sheet2!$AC$1:$AD$975,2,FALSE),0)</f>
        <v>0</v>
      </c>
      <c r="W147" s="42">
        <f>IFERROR(VLOOKUP(E147,Sheet2!$AE$1:$AF$975,2,FALSE),0)</f>
        <v>0</v>
      </c>
      <c r="X147" s="43">
        <f>IFERROR(VLOOKUP(E147,Sheet2!$AG$1:$AH$975,2,FALSE),0)</f>
        <v>0</v>
      </c>
      <c r="Z147" s="60">
        <f>IFERROR(VLOOKUP(F147,Sheet2!$AA$1:$AB$975,2,FALSE),0)</f>
        <v>0</v>
      </c>
      <c r="AA147" s="64">
        <f>IFERROR(VLOOKUP(F147,Sheet2!$AC$1:$AD$975,2,FALSE),0)</f>
        <v>0</v>
      </c>
      <c r="AB147" s="65">
        <f>IFERROR(VLOOKUP(F147,Sheet2!$AE$2:$AF$6539,2,FALSE),0)</f>
        <v>0</v>
      </c>
      <c r="AC147" s="43">
        <f>IFERROR(VLOOKUP(F147,Sheet2!$AG$2:$AH$6539,2,FALSE),0)</f>
        <v>0</v>
      </c>
      <c r="AE147" s="112">
        <v>59</v>
      </c>
      <c r="AF147" s="9">
        <v>1</v>
      </c>
      <c r="AG147" s="9">
        <v>0</v>
      </c>
      <c r="AH147" s="9">
        <v>0</v>
      </c>
      <c r="AI147" s="9">
        <v>1</v>
      </c>
      <c r="AJ147" s="9">
        <f t="shared" si="6"/>
        <v>60</v>
      </c>
      <c r="AK147" s="45">
        <f t="shared" si="7"/>
        <v>518.40000000000009</v>
      </c>
      <c r="AL147" s="68">
        <v>12</v>
      </c>
      <c r="AM147" s="68">
        <v>0</v>
      </c>
    </row>
    <row r="148" spans="1:39" x14ac:dyDescent="0.2">
      <c r="A148" s="57" t="s">
        <v>2082</v>
      </c>
      <c r="B148" s="47">
        <v>46173</v>
      </c>
      <c r="C148" s="48"/>
      <c r="D148" s="48" t="s">
        <v>1355</v>
      </c>
      <c r="E148" s="49" t="s">
        <v>341</v>
      </c>
      <c r="F148" s="49" t="s">
        <v>342</v>
      </c>
      <c r="G148" s="47" t="e">
        <v>#N/A</v>
      </c>
      <c r="H148" s="47" t="s">
        <v>94</v>
      </c>
      <c r="I148" s="40" t="s">
        <v>320</v>
      </c>
      <c r="J148" s="40" t="s">
        <v>1108</v>
      </c>
      <c r="K148" s="9" t="s">
        <v>338</v>
      </c>
      <c r="L148" s="9" t="s">
        <v>35</v>
      </c>
      <c r="M148" s="11"/>
      <c r="N148" s="11"/>
      <c r="O148" s="50">
        <v>8.64</v>
      </c>
      <c r="R148" s="9">
        <f>IFERROR(VLOOKUP(E148,Sheet6!$A$2:$B$500,2,FALSE),0)</f>
        <v>0</v>
      </c>
      <c r="S148" s="41">
        <f>IFERROR(VLOOKUP(E148,Sheet6!$C$2:$D$35017,2,FALSE),0)</f>
        <v>0</v>
      </c>
      <c r="U148" s="9">
        <f>IFERROR(VLOOKUP(E148,Sheet2!$AA$1:$AB$975,2,FALSE),0)</f>
        <v>0</v>
      </c>
      <c r="V148" s="41">
        <f>IFERROR(VLOOKUP(E148,Sheet2!$AC$1:$AD$975,2,FALSE),0)</f>
        <v>0</v>
      </c>
      <c r="W148" s="42">
        <f>IFERROR(VLOOKUP(E148,Sheet2!$AE$1:$AF$975,2,FALSE),0)</f>
        <v>0</v>
      </c>
      <c r="X148" s="43">
        <f>IFERROR(VLOOKUP(E148,Sheet2!$AG$1:$AH$975,2,FALSE),0)</f>
        <v>0</v>
      </c>
      <c r="Z148" s="60">
        <f>IFERROR(VLOOKUP(F148,Sheet2!$AA$1:$AB$975,2,FALSE),0)</f>
        <v>3</v>
      </c>
      <c r="AA148" s="64">
        <f>IFERROR(VLOOKUP(F148,Sheet2!$AC$1:$AD$975,2,FALSE),0)</f>
        <v>59.97</v>
      </c>
      <c r="AB148" s="65">
        <f>IFERROR(VLOOKUP(F148,Sheet2!$AE$2:$AF$6539,2,FALSE),0)</f>
        <v>75</v>
      </c>
      <c r="AC148" s="43">
        <f>IFERROR(VLOOKUP(F148,Sheet2!$AG$2:$AH$6539,2,FALSE),0)</f>
        <v>0.56310000000000004</v>
      </c>
      <c r="AE148" s="112">
        <v>18</v>
      </c>
      <c r="AF148" s="9">
        <v>9</v>
      </c>
      <c r="AG148" s="9">
        <v>0</v>
      </c>
      <c r="AH148" s="9">
        <v>0</v>
      </c>
      <c r="AI148" s="9">
        <v>9</v>
      </c>
      <c r="AJ148" s="9">
        <f t="shared" si="6"/>
        <v>27</v>
      </c>
      <c r="AK148" s="45">
        <f t="shared" si="7"/>
        <v>233.28000000000003</v>
      </c>
      <c r="AL148" s="68">
        <v>0</v>
      </c>
      <c r="AM148" s="68">
        <v>0</v>
      </c>
    </row>
    <row r="149" spans="1:39" x14ac:dyDescent="0.2">
      <c r="A149" s="57" t="s">
        <v>2082</v>
      </c>
      <c r="B149" s="47">
        <v>46173</v>
      </c>
      <c r="C149" s="48"/>
      <c r="D149" s="48" t="s">
        <v>1356</v>
      </c>
      <c r="E149" s="49" t="s">
        <v>343</v>
      </c>
      <c r="F149" s="49" t="s">
        <v>344</v>
      </c>
      <c r="G149" s="47" t="e">
        <v>#N/A</v>
      </c>
      <c r="H149" s="47" t="s">
        <v>94</v>
      </c>
      <c r="I149" s="9" t="s">
        <v>345</v>
      </c>
      <c r="J149" s="40" t="s">
        <v>1109</v>
      </c>
      <c r="K149" s="9" t="s">
        <v>41</v>
      </c>
      <c r="L149" s="9" t="s">
        <v>29</v>
      </c>
      <c r="M149" s="11"/>
      <c r="N149" s="11"/>
      <c r="O149" s="50">
        <v>11.232000000000001</v>
      </c>
      <c r="R149" s="9">
        <f>IFERROR(VLOOKUP(E149,Sheet6!$A$2:$B$500,2,FALSE),0)</f>
        <v>0</v>
      </c>
      <c r="S149" s="41">
        <f>IFERROR(VLOOKUP(E149,Sheet6!$C$2:$D$35017,2,FALSE),0)</f>
        <v>0</v>
      </c>
      <c r="U149" s="9">
        <f>IFERROR(VLOOKUP(E149,Sheet2!$AA$1:$AB$975,2,FALSE),0)</f>
        <v>0</v>
      </c>
      <c r="V149" s="41">
        <f>IFERROR(VLOOKUP(E149,Sheet2!$AC$1:$AD$975,2,FALSE),0)</f>
        <v>0</v>
      </c>
      <c r="W149" s="42">
        <f>IFERROR(VLOOKUP(E149,Sheet2!$AE$1:$AF$975,2,FALSE),0)</f>
        <v>0</v>
      </c>
      <c r="X149" s="43">
        <f>IFERROR(VLOOKUP(E149,Sheet2!$AG$1:$AH$975,2,FALSE),0)</f>
        <v>0</v>
      </c>
      <c r="Z149" s="60">
        <f>IFERROR(VLOOKUP(F149,Sheet2!$AA$1:$AB$975,2,FALSE),0)</f>
        <v>1</v>
      </c>
      <c r="AA149" s="64">
        <f>IFERROR(VLOOKUP(F149,Sheet2!$AC$1:$AD$975,2,FALSE),0)</f>
        <v>25.99</v>
      </c>
      <c r="AB149" s="65">
        <f>IFERROR(VLOOKUP(F149,Sheet2!$AE$2:$AF$6539,2,FALSE),0)</f>
        <v>59</v>
      </c>
      <c r="AC149" s="43">
        <f>IFERROR(VLOOKUP(F149,Sheet2!$AG$2:$AH$6539,2,FALSE),0)</f>
        <v>0.47870000000000001</v>
      </c>
      <c r="AE149" s="112">
        <v>10</v>
      </c>
      <c r="AF149" s="9">
        <v>4</v>
      </c>
      <c r="AG149" s="9">
        <v>1</v>
      </c>
      <c r="AH149" s="9">
        <v>0</v>
      </c>
      <c r="AI149" s="9">
        <v>5</v>
      </c>
      <c r="AJ149" s="9">
        <f t="shared" si="6"/>
        <v>15</v>
      </c>
      <c r="AK149" s="45">
        <f t="shared" si="7"/>
        <v>168.48000000000002</v>
      </c>
      <c r="AL149" s="68">
        <v>12</v>
      </c>
      <c r="AM149" s="68">
        <v>0</v>
      </c>
    </row>
    <row r="150" spans="1:39" x14ac:dyDescent="0.2">
      <c r="A150" s="57" t="s">
        <v>2082</v>
      </c>
      <c r="B150" s="47">
        <v>46173</v>
      </c>
      <c r="C150" s="48"/>
      <c r="D150" s="48" t="s">
        <v>1357</v>
      </c>
      <c r="E150" s="49" t="s">
        <v>346</v>
      </c>
      <c r="F150" s="49" t="s">
        <v>347</v>
      </c>
      <c r="G150" s="47" t="e">
        <v>#N/A</v>
      </c>
      <c r="H150" s="47" t="s">
        <v>94</v>
      </c>
      <c r="I150" s="9" t="s">
        <v>345</v>
      </c>
      <c r="J150" s="40" t="s">
        <v>1109</v>
      </c>
      <c r="K150" s="9" t="s">
        <v>41</v>
      </c>
      <c r="L150" s="9" t="s">
        <v>32</v>
      </c>
      <c r="M150" s="11"/>
      <c r="N150" s="11"/>
      <c r="O150" s="50">
        <v>11.232000000000001</v>
      </c>
      <c r="R150" s="9">
        <f>IFERROR(VLOOKUP(E150,Sheet6!$A$2:$B$500,2,FALSE),0)</f>
        <v>0</v>
      </c>
      <c r="S150" s="41">
        <f>IFERROR(VLOOKUP(E150,Sheet6!$C$2:$D$35017,2,FALSE),0)</f>
        <v>0</v>
      </c>
      <c r="U150" s="9">
        <f>IFERROR(VLOOKUP(E150,Sheet2!$AA$1:$AB$975,2,FALSE),0)</f>
        <v>0</v>
      </c>
      <c r="V150" s="41">
        <f>IFERROR(VLOOKUP(E150,Sheet2!$AC$1:$AD$975,2,FALSE),0)</f>
        <v>0</v>
      </c>
      <c r="W150" s="42">
        <f>IFERROR(VLOOKUP(E150,Sheet2!$AE$1:$AF$975,2,FALSE),0)</f>
        <v>0</v>
      </c>
      <c r="X150" s="43">
        <f>IFERROR(VLOOKUP(E150,Sheet2!$AG$1:$AH$975,2,FALSE),0)</f>
        <v>0</v>
      </c>
      <c r="Z150" s="60">
        <f>IFERROR(VLOOKUP(F150,Sheet2!$AA$1:$AB$975,2,FALSE),0)</f>
        <v>2</v>
      </c>
      <c r="AA150" s="64">
        <f>IFERROR(VLOOKUP(F150,Sheet2!$AC$1:$AD$975,2,FALSE),0)</f>
        <v>51.98</v>
      </c>
      <c r="AB150" s="65">
        <f>IFERROR(VLOOKUP(F150,Sheet2!$AE$2:$AF$6539,2,FALSE),0)</f>
        <v>73</v>
      </c>
      <c r="AC150" s="43">
        <f>IFERROR(VLOOKUP(F150,Sheet2!$AG$2:$AH$6539,2,FALSE),0)</f>
        <v>0.42530000000000001</v>
      </c>
      <c r="AE150" s="112">
        <v>16</v>
      </c>
      <c r="AF150" s="9">
        <v>16</v>
      </c>
      <c r="AG150" s="9">
        <v>0</v>
      </c>
      <c r="AH150" s="9">
        <v>0</v>
      </c>
      <c r="AI150" s="9">
        <v>16</v>
      </c>
      <c r="AJ150" s="9">
        <f t="shared" si="6"/>
        <v>32</v>
      </c>
      <c r="AK150" s="45">
        <f t="shared" si="7"/>
        <v>359.42400000000004</v>
      </c>
      <c r="AL150" s="68">
        <v>0</v>
      </c>
      <c r="AM150" s="68">
        <v>0</v>
      </c>
    </row>
    <row r="151" spans="1:39" x14ac:dyDescent="0.2">
      <c r="A151" s="57" t="s">
        <v>2082</v>
      </c>
      <c r="B151" s="47">
        <v>46173</v>
      </c>
      <c r="C151" s="48"/>
      <c r="D151" s="48" t="s">
        <v>1358</v>
      </c>
      <c r="E151" s="49" t="s">
        <v>348</v>
      </c>
      <c r="F151" s="49" t="s">
        <v>349</v>
      </c>
      <c r="G151" s="47" t="e">
        <v>#N/A</v>
      </c>
      <c r="H151" s="47" t="s">
        <v>94</v>
      </c>
      <c r="I151" s="9" t="s">
        <v>345</v>
      </c>
      <c r="J151" s="40" t="s">
        <v>1109</v>
      </c>
      <c r="K151" s="9" t="s">
        <v>41</v>
      </c>
      <c r="L151" s="9" t="s">
        <v>35</v>
      </c>
      <c r="M151" s="11"/>
      <c r="N151" s="11"/>
      <c r="O151" s="50">
        <v>11.232000000000001</v>
      </c>
      <c r="R151" s="9">
        <f>IFERROR(VLOOKUP(E151,Sheet6!$A$2:$B$500,2,FALSE),0)</f>
        <v>0</v>
      </c>
      <c r="S151" s="41">
        <f>IFERROR(VLOOKUP(E151,Sheet6!$C$2:$D$35017,2,FALSE),0)</f>
        <v>0</v>
      </c>
      <c r="U151" s="9">
        <f>IFERROR(VLOOKUP(E151,Sheet2!$AA$1:$AB$975,2,FALSE),0)</f>
        <v>0</v>
      </c>
      <c r="V151" s="41">
        <f>IFERROR(VLOOKUP(E151,Sheet2!$AC$1:$AD$975,2,FALSE),0)</f>
        <v>0</v>
      </c>
      <c r="W151" s="42">
        <f>IFERROR(VLOOKUP(E151,Sheet2!$AE$1:$AF$975,2,FALSE),0)</f>
        <v>0</v>
      </c>
      <c r="X151" s="43">
        <f>IFERROR(VLOOKUP(E151,Sheet2!$AG$1:$AH$975,2,FALSE),0)</f>
        <v>0</v>
      </c>
      <c r="Z151" s="60">
        <f>IFERROR(VLOOKUP(F151,Sheet2!$AA$1:$AB$975,2,FALSE),0)</f>
        <v>12</v>
      </c>
      <c r="AA151" s="64">
        <f>IFERROR(VLOOKUP(F151,Sheet2!$AC$1:$AD$975,2,FALSE),0)</f>
        <v>311.88</v>
      </c>
      <c r="AB151" s="65">
        <f>IFERROR(VLOOKUP(F151,Sheet2!$AE$2:$AF$6539,2,FALSE),0)</f>
        <v>41</v>
      </c>
      <c r="AC151" s="43">
        <f>IFERROR(VLOOKUP(F151,Sheet2!$AG$2:$AH$6539,2,FALSE),0)</f>
        <v>0.42</v>
      </c>
      <c r="AE151" s="112">
        <v>2</v>
      </c>
      <c r="AF151" s="9">
        <v>0</v>
      </c>
      <c r="AG151" s="9">
        <v>0</v>
      </c>
      <c r="AH151" s="9">
        <v>0</v>
      </c>
      <c r="AI151" s="9">
        <v>0</v>
      </c>
      <c r="AJ151" s="9">
        <f t="shared" si="6"/>
        <v>2</v>
      </c>
      <c r="AK151" s="45">
        <f t="shared" si="7"/>
        <v>22.464000000000002</v>
      </c>
      <c r="AL151" s="68">
        <v>6</v>
      </c>
      <c r="AM151" s="68">
        <v>0</v>
      </c>
    </row>
    <row r="152" spans="1:39" x14ac:dyDescent="0.2">
      <c r="A152" s="57" t="s">
        <v>2082</v>
      </c>
      <c r="B152" s="47">
        <v>46173</v>
      </c>
      <c r="C152" s="48"/>
      <c r="D152" s="48" t="s">
        <v>1359</v>
      </c>
      <c r="E152" s="49" t="s">
        <v>350</v>
      </c>
      <c r="F152" s="49" t="s">
        <v>351</v>
      </c>
      <c r="G152" s="47" t="e">
        <v>#N/A</v>
      </c>
      <c r="H152" s="47" t="s">
        <v>94</v>
      </c>
      <c r="I152" s="9" t="s">
        <v>345</v>
      </c>
      <c r="J152" s="40" t="s">
        <v>1109</v>
      </c>
      <c r="K152" s="9" t="s">
        <v>189</v>
      </c>
      <c r="L152" s="9" t="s">
        <v>29</v>
      </c>
      <c r="M152" s="11"/>
      <c r="N152" s="11"/>
      <c r="O152" s="50">
        <v>11.232000000000001</v>
      </c>
      <c r="R152" s="9">
        <f>IFERROR(VLOOKUP(E152,Sheet6!$A$2:$B$500,2,FALSE),0)</f>
        <v>0</v>
      </c>
      <c r="S152" s="41">
        <f>IFERROR(VLOOKUP(E152,Sheet6!$C$2:$D$35017,2,FALSE),0)</f>
        <v>0</v>
      </c>
      <c r="U152" s="9">
        <f>IFERROR(VLOOKUP(E152,Sheet2!$AA$1:$AB$975,2,FALSE),0)</f>
        <v>0</v>
      </c>
      <c r="V152" s="41">
        <f>IFERROR(VLOOKUP(E152,Sheet2!$AC$1:$AD$975,2,FALSE),0)</f>
        <v>0</v>
      </c>
      <c r="W152" s="42">
        <f>IFERROR(VLOOKUP(E152,Sheet2!$AE$1:$AF$975,2,FALSE),0)</f>
        <v>0</v>
      </c>
      <c r="X152" s="43">
        <f>IFERROR(VLOOKUP(E152,Sheet2!$AG$1:$AH$975,2,FALSE),0)</f>
        <v>0</v>
      </c>
      <c r="Z152" s="60">
        <f>IFERROR(VLOOKUP(F152,Sheet2!$AA$1:$AB$975,2,FALSE),0)</f>
        <v>0</v>
      </c>
      <c r="AA152" s="64">
        <f>IFERROR(VLOOKUP(F152,Sheet2!$AC$1:$AD$975,2,FALSE),0)</f>
        <v>0</v>
      </c>
      <c r="AB152" s="65">
        <f>IFERROR(VLOOKUP(F152,Sheet2!$AE$2:$AF$6539,2,FALSE),0)</f>
        <v>0</v>
      </c>
      <c r="AC152" s="43">
        <f>IFERROR(VLOOKUP(F152,Sheet2!$AG$2:$AH$6539,2,FALSE),0)</f>
        <v>0</v>
      </c>
      <c r="AE152" s="112">
        <v>29</v>
      </c>
      <c r="AF152" s="9">
        <v>1</v>
      </c>
      <c r="AG152" s="9">
        <v>0</v>
      </c>
      <c r="AH152" s="9">
        <v>0</v>
      </c>
      <c r="AI152" s="9">
        <v>1</v>
      </c>
      <c r="AJ152" s="9">
        <f t="shared" si="6"/>
        <v>30</v>
      </c>
      <c r="AK152" s="45">
        <f t="shared" si="7"/>
        <v>336.96000000000004</v>
      </c>
      <c r="AL152" s="68">
        <v>6</v>
      </c>
      <c r="AM152" s="68">
        <v>0</v>
      </c>
    </row>
    <row r="153" spans="1:39" x14ac:dyDescent="0.2">
      <c r="A153" s="57" t="s">
        <v>2082</v>
      </c>
      <c r="B153" s="47">
        <v>46173</v>
      </c>
      <c r="C153" s="48"/>
      <c r="D153" s="48" t="s">
        <v>1360</v>
      </c>
      <c r="E153" s="49" t="s">
        <v>352</v>
      </c>
      <c r="F153" s="49" t="s">
        <v>353</v>
      </c>
      <c r="G153" s="47" t="e">
        <v>#N/A</v>
      </c>
      <c r="H153" s="47" t="s">
        <v>94</v>
      </c>
      <c r="I153" s="9" t="s">
        <v>345</v>
      </c>
      <c r="J153" s="40" t="s">
        <v>1109</v>
      </c>
      <c r="K153" s="9" t="s">
        <v>189</v>
      </c>
      <c r="L153" s="9" t="s">
        <v>32</v>
      </c>
      <c r="M153" s="11"/>
      <c r="N153" s="11"/>
      <c r="O153" s="50">
        <v>11.232000000000001</v>
      </c>
      <c r="R153" s="9">
        <f>IFERROR(VLOOKUP(E153,Sheet6!$A$2:$B$500,2,FALSE),0)</f>
        <v>0</v>
      </c>
      <c r="S153" s="41">
        <f>IFERROR(VLOOKUP(E153,Sheet6!$C$2:$D$35017,2,FALSE),0)</f>
        <v>0</v>
      </c>
      <c r="U153" s="9">
        <f>IFERROR(VLOOKUP(E153,Sheet2!$AA$1:$AB$975,2,FALSE),0)</f>
        <v>0</v>
      </c>
      <c r="V153" s="41">
        <f>IFERROR(VLOOKUP(E153,Sheet2!$AC$1:$AD$975,2,FALSE),0)</f>
        <v>0</v>
      </c>
      <c r="W153" s="42">
        <f>IFERROR(VLOOKUP(E153,Sheet2!$AE$1:$AF$975,2,FALSE),0)</f>
        <v>0</v>
      </c>
      <c r="X153" s="43">
        <f>IFERROR(VLOOKUP(E153,Sheet2!$AG$1:$AH$975,2,FALSE),0)</f>
        <v>0</v>
      </c>
      <c r="Z153" s="60">
        <f>IFERROR(VLOOKUP(F153,Sheet2!$AA$1:$AB$975,2,FALSE),0)</f>
        <v>14</v>
      </c>
      <c r="AA153" s="64">
        <f>IFERROR(VLOOKUP(F153,Sheet2!$AC$1:$AD$975,2,FALSE),0)</f>
        <v>363.86</v>
      </c>
      <c r="AB153" s="65">
        <f>IFERROR(VLOOKUP(F153,Sheet2!$AE$2:$AF$6539,2,FALSE),0)</f>
        <v>68</v>
      </c>
      <c r="AC153" s="43">
        <f>IFERROR(VLOOKUP(F153,Sheet2!$AG$2:$AH$6539,2,FALSE),0)</f>
        <v>0.67949999999999999</v>
      </c>
      <c r="AE153" s="112">
        <v>7</v>
      </c>
      <c r="AF153" s="9">
        <v>28</v>
      </c>
      <c r="AG153" s="9">
        <v>0</v>
      </c>
      <c r="AH153" s="9">
        <v>1</v>
      </c>
      <c r="AI153" s="9">
        <v>29</v>
      </c>
      <c r="AJ153" s="9">
        <f t="shared" si="6"/>
        <v>36</v>
      </c>
      <c r="AK153" s="45">
        <f t="shared" si="7"/>
        <v>404.35200000000003</v>
      </c>
      <c r="AL153" s="68">
        <v>0</v>
      </c>
      <c r="AM153" s="68">
        <v>60</v>
      </c>
    </row>
    <row r="154" spans="1:39" x14ac:dyDescent="0.2">
      <c r="A154" s="57" t="s">
        <v>2082</v>
      </c>
      <c r="B154" s="47">
        <v>46173</v>
      </c>
      <c r="C154" s="48"/>
      <c r="D154" s="48" t="s">
        <v>1361</v>
      </c>
      <c r="E154" s="49" t="s">
        <v>354</v>
      </c>
      <c r="F154" s="49" t="s">
        <v>355</v>
      </c>
      <c r="G154" s="47" t="e">
        <v>#N/A</v>
      </c>
      <c r="H154" s="47" t="s">
        <v>94</v>
      </c>
      <c r="I154" s="9" t="s">
        <v>345</v>
      </c>
      <c r="J154" s="40" t="s">
        <v>1109</v>
      </c>
      <c r="K154" s="9" t="s">
        <v>189</v>
      </c>
      <c r="L154" s="9" t="s">
        <v>35</v>
      </c>
      <c r="M154" s="11"/>
      <c r="N154" s="11"/>
      <c r="O154" s="50">
        <v>11.232000000000001</v>
      </c>
      <c r="R154" s="9">
        <f>IFERROR(VLOOKUP(E154,Sheet6!$A$2:$B$500,2,FALSE),0)</f>
        <v>0</v>
      </c>
      <c r="S154" s="41">
        <f>IFERROR(VLOOKUP(E154,Sheet6!$C$2:$D$35017,2,FALSE),0)</f>
        <v>0</v>
      </c>
      <c r="U154" s="9">
        <f>IFERROR(VLOOKUP(E154,Sheet2!$AA$1:$AB$975,2,FALSE),0)</f>
        <v>1</v>
      </c>
      <c r="V154" s="41">
        <f>IFERROR(VLOOKUP(E154,Sheet2!$AC$1:$AD$975,2,FALSE),0)</f>
        <v>25.99</v>
      </c>
      <c r="W154" s="42">
        <f>IFERROR(VLOOKUP(E154,Sheet2!$AE$1:$AF$975,2,FALSE),0)</f>
        <v>70</v>
      </c>
      <c r="X154" s="43">
        <f>IFERROR(VLOOKUP(E154,Sheet2!$AG$1:$AH$975,2,FALSE),0)</f>
        <v>2.1100000000000001E-2</v>
      </c>
      <c r="Z154" s="60">
        <f>IFERROR(VLOOKUP(F154,Sheet2!$AA$1:$AB$975,2,FALSE),0)</f>
        <v>0</v>
      </c>
      <c r="AA154" s="64">
        <f>IFERROR(VLOOKUP(F154,Sheet2!$AC$1:$AD$975,2,FALSE),0)</f>
        <v>0</v>
      </c>
      <c r="AB154" s="65">
        <f>IFERROR(VLOOKUP(F154,Sheet2!$AE$2:$AF$6539,2,FALSE),0)</f>
        <v>0</v>
      </c>
      <c r="AC154" s="43">
        <f>IFERROR(VLOOKUP(F154,Sheet2!$AG$2:$AH$6539,2,FALSE),0)</f>
        <v>0</v>
      </c>
      <c r="AE154" s="112">
        <v>22</v>
      </c>
      <c r="AF154" s="9">
        <v>0</v>
      </c>
      <c r="AG154" s="9">
        <v>0</v>
      </c>
      <c r="AH154" s="9">
        <v>0</v>
      </c>
      <c r="AI154" s="9">
        <v>0</v>
      </c>
      <c r="AJ154" s="9">
        <f t="shared" si="6"/>
        <v>22</v>
      </c>
      <c r="AK154" s="45">
        <f t="shared" si="7"/>
        <v>247.10400000000001</v>
      </c>
      <c r="AL154" s="68">
        <v>12</v>
      </c>
      <c r="AM154" s="68">
        <v>0</v>
      </c>
    </row>
    <row r="155" spans="1:39" x14ac:dyDescent="0.2">
      <c r="A155" s="57" t="s">
        <v>2082</v>
      </c>
      <c r="B155" s="47">
        <v>46173</v>
      </c>
      <c r="C155" s="48"/>
      <c r="D155" s="48" t="s">
        <v>1362</v>
      </c>
      <c r="E155" s="49" t="s">
        <v>356</v>
      </c>
      <c r="F155" s="49" t="s">
        <v>357</v>
      </c>
      <c r="G155" s="47" t="e">
        <v>#N/A</v>
      </c>
      <c r="H155" s="47" t="s">
        <v>94</v>
      </c>
      <c r="I155" s="9" t="s">
        <v>345</v>
      </c>
      <c r="J155" s="40" t="s">
        <v>1109</v>
      </c>
      <c r="K155" s="9" t="s">
        <v>317</v>
      </c>
      <c r="L155" s="9" t="s">
        <v>29</v>
      </c>
      <c r="M155" s="11"/>
      <c r="N155" s="11"/>
      <c r="O155" s="50">
        <v>11.232000000000001</v>
      </c>
      <c r="R155" s="9">
        <f>IFERROR(VLOOKUP(E155,Sheet6!$A$2:$B$500,2,FALSE),0)</f>
        <v>0</v>
      </c>
      <c r="S155" s="41">
        <f>IFERROR(VLOOKUP(E155,Sheet6!$C$2:$D$35017,2,FALSE),0)</f>
        <v>0</v>
      </c>
      <c r="U155" s="9">
        <f>IFERROR(VLOOKUP(E155,Sheet2!$AA$1:$AB$975,2,FALSE),0)</f>
        <v>0</v>
      </c>
      <c r="V155" s="41">
        <f>IFERROR(VLOOKUP(E155,Sheet2!$AC$1:$AD$975,2,FALSE),0)</f>
        <v>0</v>
      </c>
      <c r="W155" s="42">
        <f>IFERROR(VLOOKUP(E155,Sheet2!$AE$1:$AF$975,2,FALSE),0)</f>
        <v>0</v>
      </c>
      <c r="X155" s="43">
        <f>IFERROR(VLOOKUP(E155,Sheet2!$AG$1:$AH$975,2,FALSE),0)</f>
        <v>0</v>
      </c>
      <c r="Z155" s="60">
        <f>IFERROR(VLOOKUP(F155,Sheet2!$AA$1:$AB$975,2,FALSE),0)</f>
        <v>3</v>
      </c>
      <c r="AA155" s="64">
        <f>IFERROR(VLOOKUP(F155,Sheet2!$AC$1:$AD$975,2,FALSE),0)</f>
        <v>77.97</v>
      </c>
      <c r="AB155" s="65">
        <f>IFERROR(VLOOKUP(F155,Sheet2!$AE$2:$AF$6539,2,FALSE),0)</f>
        <v>49</v>
      </c>
      <c r="AC155" s="43">
        <f>IFERROR(VLOOKUP(F155,Sheet2!$AG$2:$AH$6539,2,FALSE),0)</f>
        <v>0.9516</v>
      </c>
      <c r="AE155" s="112">
        <v>9</v>
      </c>
      <c r="AF155" s="9">
        <v>21</v>
      </c>
      <c r="AG155" s="9">
        <v>0</v>
      </c>
      <c r="AH155" s="9">
        <v>0</v>
      </c>
      <c r="AI155" s="9">
        <v>21</v>
      </c>
      <c r="AJ155" s="9">
        <f t="shared" si="6"/>
        <v>30</v>
      </c>
      <c r="AK155" s="45">
        <f t="shared" si="7"/>
        <v>336.96000000000004</v>
      </c>
      <c r="AL155" s="68">
        <v>0</v>
      </c>
      <c r="AM155" s="68">
        <v>0</v>
      </c>
    </row>
    <row r="156" spans="1:39" x14ac:dyDescent="0.2">
      <c r="A156" s="57" t="s">
        <v>2082</v>
      </c>
      <c r="B156" s="47">
        <v>46173</v>
      </c>
      <c r="C156" s="48"/>
      <c r="D156" s="48" t="s">
        <v>1363</v>
      </c>
      <c r="E156" s="49" t="s">
        <v>358</v>
      </c>
      <c r="F156" s="49" t="s">
        <v>359</v>
      </c>
      <c r="G156" s="47" t="e">
        <v>#N/A</v>
      </c>
      <c r="H156" s="47" t="s">
        <v>94</v>
      </c>
      <c r="I156" s="9" t="s">
        <v>345</v>
      </c>
      <c r="J156" s="40" t="s">
        <v>1109</v>
      </c>
      <c r="K156" s="9" t="s">
        <v>317</v>
      </c>
      <c r="L156" s="9" t="s">
        <v>32</v>
      </c>
      <c r="M156" s="11"/>
      <c r="N156" s="11"/>
      <c r="O156" s="50">
        <v>11.232000000000001</v>
      </c>
      <c r="R156" s="9">
        <f>IFERROR(VLOOKUP(E156,Sheet6!$A$2:$B$500,2,FALSE),0)</f>
        <v>0</v>
      </c>
      <c r="S156" s="41">
        <f>IFERROR(VLOOKUP(E156,Sheet6!$C$2:$D$35017,2,FALSE),0)</f>
        <v>0</v>
      </c>
      <c r="U156" s="9">
        <f>IFERROR(VLOOKUP(E156,Sheet2!$AA$1:$AB$975,2,FALSE),0)</f>
        <v>0</v>
      </c>
      <c r="V156" s="41">
        <f>IFERROR(VLOOKUP(E156,Sheet2!$AC$1:$AD$975,2,FALSE),0)</f>
        <v>0</v>
      </c>
      <c r="W156" s="42">
        <f>IFERROR(VLOOKUP(E156,Sheet2!$AE$1:$AF$975,2,FALSE),0)</f>
        <v>0</v>
      </c>
      <c r="X156" s="43">
        <f>IFERROR(VLOOKUP(E156,Sheet2!$AG$1:$AH$975,2,FALSE),0)</f>
        <v>0</v>
      </c>
      <c r="Z156" s="60">
        <f>IFERROR(VLOOKUP(F156,Sheet2!$AA$1:$AB$975,2,FALSE),0)</f>
        <v>0</v>
      </c>
      <c r="AA156" s="64">
        <f>IFERROR(VLOOKUP(F156,Sheet2!$AC$1:$AD$975,2,FALSE),0)</f>
        <v>0</v>
      </c>
      <c r="AB156" s="65">
        <f>IFERROR(VLOOKUP(F156,Sheet2!$AE$2:$AF$6539,2,FALSE),0)</f>
        <v>0</v>
      </c>
      <c r="AC156" s="43">
        <f>IFERROR(VLOOKUP(F156,Sheet2!$AG$2:$AH$6539,2,FALSE),0)</f>
        <v>0</v>
      </c>
      <c r="AE156" s="112">
        <v>0</v>
      </c>
      <c r="AF156" s="9">
        <v>0</v>
      </c>
      <c r="AG156" s="9">
        <v>0</v>
      </c>
      <c r="AH156" s="9">
        <v>0</v>
      </c>
      <c r="AI156" s="9">
        <v>0</v>
      </c>
      <c r="AJ156" s="9">
        <f t="shared" si="6"/>
        <v>0</v>
      </c>
      <c r="AK156" s="45">
        <f t="shared" si="7"/>
        <v>0</v>
      </c>
      <c r="AL156" s="68">
        <v>12</v>
      </c>
      <c r="AM156" s="68">
        <v>18</v>
      </c>
    </row>
    <row r="157" spans="1:39" x14ac:dyDescent="0.2">
      <c r="A157" s="57" t="s">
        <v>2082</v>
      </c>
      <c r="B157" s="47">
        <v>46173</v>
      </c>
      <c r="C157" s="108"/>
      <c r="D157" s="48" t="s">
        <v>1364</v>
      </c>
      <c r="E157" s="49" t="s">
        <v>360</v>
      </c>
      <c r="F157" s="49" t="s">
        <v>361</v>
      </c>
      <c r="G157" s="47" t="e">
        <v>#N/A</v>
      </c>
      <c r="H157" s="47" t="s">
        <v>94</v>
      </c>
      <c r="I157" s="9" t="s">
        <v>362</v>
      </c>
      <c r="J157" s="40" t="s">
        <v>363</v>
      </c>
      <c r="K157" s="9" t="s">
        <v>187</v>
      </c>
      <c r="L157" s="9" t="s">
        <v>32</v>
      </c>
      <c r="M157" s="11"/>
      <c r="N157" s="11"/>
      <c r="O157" s="50">
        <v>7.7760000000000007</v>
      </c>
      <c r="R157" s="9">
        <f>IFERROR(VLOOKUP(E157,Sheet6!$A$2:$B$500,2,FALSE),0)</f>
        <v>0</v>
      </c>
      <c r="S157" s="41">
        <f>IFERROR(VLOOKUP(E157,Sheet6!$C$2:$D$35017,2,FALSE),0)</f>
        <v>0</v>
      </c>
      <c r="U157" s="9">
        <f>IFERROR(VLOOKUP(E157,Sheet2!$AA$1:$AB$975,2,FALSE),0)</f>
        <v>0</v>
      </c>
      <c r="V157" s="41">
        <f>IFERROR(VLOOKUP(E157,Sheet2!$AC$1:$AD$975,2,FALSE),0)</f>
        <v>0</v>
      </c>
      <c r="W157" s="42">
        <f>IFERROR(VLOOKUP(E157,Sheet2!$AE$1:$AF$975,2,FALSE),0)</f>
        <v>0</v>
      </c>
      <c r="X157" s="43">
        <f>IFERROR(VLOOKUP(E157,Sheet2!$AG$1:$AH$975,2,FALSE),0)</f>
        <v>0</v>
      </c>
      <c r="Z157" s="60">
        <f>IFERROR(VLOOKUP(F157,Sheet2!$AA$1:$AB$975,2,FALSE),0)</f>
        <v>0</v>
      </c>
      <c r="AA157" s="64">
        <f>IFERROR(VLOOKUP(F157,Sheet2!$AC$1:$AD$975,2,FALSE),0)</f>
        <v>0</v>
      </c>
      <c r="AB157" s="65">
        <f>IFERROR(VLOOKUP(F157,Sheet2!$AE$2:$AF$6539,2,FALSE),0)</f>
        <v>0</v>
      </c>
      <c r="AC157" s="43">
        <f>IFERROR(VLOOKUP(F157,Sheet2!$AG$2:$AH$6539,2,FALSE),0)</f>
        <v>0</v>
      </c>
      <c r="AE157" s="112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f t="shared" si="6"/>
        <v>0</v>
      </c>
      <c r="AK157" s="45">
        <f t="shared" si="7"/>
        <v>0</v>
      </c>
      <c r="AL157" s="68">
        <v>0</v>
      </c>
      <c r="AM157" s="68">
        <v>0</v>
      </c>
    </row>
    <row r="158" spans="1:39" x14ac:dyDescent="0.2">
      <c r="A158" s="57" t="s">
        <v>2082</v>
      </c>
      <c r="B158" s="47">
        <v>46173</v>
      </c>
      <c r="C158" s="48"/>
      <c r="D158" s="48" t="s">
        <v>1365</v>
      </c>
      <c r="E158" s="49" t="s">
        <v>364</v>
      </c>
      <c r="F158" s="49" t="s">
        <v>365</v>
      </c>
      <c r="G158" s="47" t="e">
        <v>#N/A</v>
      </c>
      <c r="H158" s="47" t="s">
        <v>94</v>
      </c>
      <c r="I158" s="9" t="s">
        <v>362</v>
      </c>
      <c r="J158" s="40" t="s">
        <v>363</v>
      </c>
      <c r="K158" s="9" t="s">
        <v>187</v>
      </c>
      <c r="L158" s="9" t="s">
        <v>35</v>
      </c>
      <c r="M158" s="11"/>
      <c r="N158" s="11"/>
      <c r="O158" s="50">
        <v>7.7760000000000007</v>
      </c>
      <c r="R158" s="9">
        <f>IFERROR(VLOOKUP(E158,Sheet6!$A$2:$B$500,2,FALSE),0)</f>
        <v>0</v>
      </c>
      <c r="S158" s="41">
        <f>IFERROR(VLOOKUP(E158,Sheet6!$C$2:$D$35017,2,FALSE),0)</f>
        <v>0</v>
      </c>
      <c r="U158" s="9">
        <f>IFERROR(VLOOKUP(E158,Sheet2!$AA$1:$AB$975,2,FALSE),0)</f>
        <v>0</v>
      </c>
      <c r="V158" s="41">
        <f>IFERROR(VLOOKUP(E158,Sheet2!$AC$1:$AD$975,2,FALSE),0)</f>
        <v>0</v>
      </c>
      <c r="W158" s="42">
        <f>IFERROR(VLOOKUP(E158,Sheet2!$AE$1:$AF$975,2,FALSE),0)</f>
        <v>0</v>
      </c>
      <c r="X158" s="43">
        <f>IFERROR(VLOOKUP(E158,Sheet2!$AG$1:$AH$975,2,FALSE),0)</f>
        <v>0</v>
      </c>
      <c r="Z158" s="60">
        <f>IFERROR(VLOOKUP(F158,Sheet2!$AA$1:$AB$975,2,FALSE),0)</f>
        <v>0</v>
      </c>
      <c r="AA158" s="64">
        <f>IFERROR(VLOOKUP(F158,Sheet2!$AC$1:$AD$975,2,FALSE),0)</f>
        <v>0</v>
      </c>
      <c r="AB158" s="65">
        <f>IFERROR(VLOOKUP(F158,Sheet2!$AE$2:$AF$6539,2,FALSE),0)</f>
        <v>0</v>
      </c>
      <c r="AC158" s="43">
        <f>IFERROR(VLOOKUP(F158,Sheet2!$AG$2:$AH$6539,2,FALSE),0)</f>
        <v>0</v>
      </c>
      <c r="AE158" s="112">
        <v>0</v>
      </c>
      <c r="AF158" s="9">
        <v>0</v>
      </c>
      <c r="AG158" s="9">
        <v>0</v>
      </c>
      <c r="AH158" s="9">
        <v>0</v>
      </c>
      <c r="AI158" s="9">
        <v>0</v>
      </c>
      <c r="AJ158" s="9">
        <f t="shared" si="6"/>
        <v>0</v>
      </c>
      <c r="AK158" s="45">
        <f t="shared" si="7"/>
        <v>0</v>
      </c>
      <c r="AL158" s="68">
        <v>6</v>
      </c>
      <c r="AM158" s="68">
        <v>0</v>
      </c>
    </row>
    <row r="159" spans="1:39" x14ac:dyDescent="0.2">
      <c r="A159" s="57" t="s">
        <v>2082</v>
      </c>
      <c r="B159" s="47">
        <v>46173</v>
      </c>
      <c r="C159" s="48"/>
      <c r="D159" s="48" t="s">
        <v>1366</v>
      </c>
      <c r="E159" s="49" t="s">
        <v>366</v>
      </c>
      <c r="F159" s="49" t="s">
        <v>367</v>
      </c>
      <c r="G159" s="47" t="e">
        <v>#N/A</v>
      </c>
      <c r="H159" s="47" t="s">
        <v>94</v>
      </c>
      <c r="I159" s="9" t="s">
        <v>362</v>
      </c>
      <c r="J159" s="40" t="s">
        <v>363</v>
      </c>
      <c r="K159" s="9" t="s">
        <v>189</v>
      </c>
      <c r="L159" s="9" t="s">
        <v>29</v>
      </c>
      <c r="M159" s="11"/>
      <c r="N159" s="11"/>
      <c r="O159" s="50">
        <v>7.7760000000000007</v>
      </c>
      <c r="R159" s="9">
        <f>IFERROR(VLOOKUP(E159,Sheet6!$A$2:$B$500,2,FALSE),0)</f>
        <v>0</v>
      </c>
      <c r="S159" s="41">
        <f>IFERROR(VLOOKUP(E159,Sheet6!$C$2:$D$35017,2,FALSE),0)</f>
        <v>0</v>
      </c>
      <c r="U159" s="9">
        <f>IFERROR(VLOOKUP(E159,Sheet2!$AA$1:$AB$975,2,FALSE),0)</f>
        <v>0</v>
      </c>
      <c r="V159" s="41">
        <f>IFERROR(VLOOKUP(E159,Sheet2!$AC$1:$AD$975,2,FALSE),0)</f>
        <v>0</v>
      </c>
      <c r="W159" s="42">
        <f>IFERROR(VLOOKUP(E159,Sheet2!$AE$1:$AF$975,2,FALSE),0)</f>
        <v>0</v>
      </c>
      <c r="X159" s="43">
        <f>IFERROR(VLOOKUP(E159,Sheet2!$AG$1:$AH$975,2,FALSE),0)</f>
        <v>0</v>
      </c>
      <c r="Z159" s="60">
        <f>IFERROR(VLOOKUP(F159,Sheet2!$AA$1:$AB$975,2,FALSE),0)</f>
        <v>0</v>
      </c>
      <c r="AA159" s="64">
        <f>IFERROR(VLOOKUP(F159,Sheet2!$AC$1:$AD$975,2,FALSE),0)</f>
        <v>0</v>
      </c>
      <c r="AB159" s="65">
        <f>IFERROR(VLOOKUP(F159,Sheet2!$AE$2:$AF$6539,2,FALSE),0)</f>
        <v>0</v>
      </c>
      <c r="AC159" s="43">
        <f>IFERROR(VLOOKUP(F159,Sheet2!$AG$2:$AH$6539,2,FALSE),0)</f>
        <v>0</v>
      </c>
      <c r="AE159" s="112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f t="shared" si="6"/>
        <v>0</v>
      </c>
      <c r="AK159" s="45">
        <f t="shared" si="7"/>
        <v>0</v>
      </c>
      <c r="AL159" s="68">
        <v>6</v>
      </c>
      <c r="AM159" s="68">
        <v>0</v>
      </c>
    </row>
    <row r="160" spans="1:39" x14ac:dyDescent="0.2">
      <c r="A160" s="57" t="s">
        <v>2082</v>
      </c>
      <c r="B160" s="47">
        <v>46173</v>
      </c>
      <c r="C160" s="48"/>
      <c r="D160" s="48" t="s">
        <v>1367</v>
      </c>
      <c r="E160" s="49" t="s">
        <v>368</v>
      </c>
      <c r="F160" s="49" t="s">
        <v>369</v>
      </c>
      <c r="G160" s="47" t="e">
        <v>#N/A</v>
      </c>
      <c r="H160" s="47" t="s">
        <v>94</v>
      </c>
      <c r="I160" s="9" t="s">
        <v>362</v>
      </c>
      <c r="J160" s="40" t="s">
        <v>363</v>
      </c>
      <c r="K160" s="9" t="s">
        <v>189</v>
      </c>
      <c r="L160" s="9" t="s">
        <v>32</v>
      </c>
      <c r="M160" s="11"/>
      <c r="N160" s="11"/>
      <c r="O160" s="50">
        <v>7.7760000000000007</v>
      </c>
      <c r="R160" s="9">
        <f>IFERROR(VLOOKUP(E160,Sheet6!$A$2:$B$500,2,FALSE),0)</f>
        <v>0</v>
      </c>
      <c r="S160" s="41">
        <f>IFERROR(VLOOKUP(E160,Sheet6!$C$2:$D$35017,2,FALSE),0)</f>
        <v>0</v>
      </c>
      <c r="U160" s="9">
        <f>IFERROR(VLOOKUP(E160,Sheet2!$AA$1:$AB$975,2,FALSE),0)</f>
        <v>0</v>
      </c>
      <c r="V160" s="41">
        <f>IFERROR(VLOOKUP(E160,Sheet2!$AC$1:$AD$975,2,FALSE),0)</f>
        <v>0</v>
      </c>
      <c r="W160" s="42">
        <f>IFERROR(VLOOKUP(E160,Sheet2!$AE$1:$AF$975,2,FALSE),0)</f>
        <v>0</v>
      </c>
      <c r="X160" s="43">
        <f>IFERROR(VLOOKUP(E160,Sheet2!$AG$1:$AH$975,2,FALSE),0)</f>
        <v>0</v>
      </c>
      <c r="Z160" s="60">
        <f>IFERROR(VLOOKUP(F160,Sheet2!$AA$1:$AB$975,2,FALSE),0)</f>
        <v>0</v>
      </c>
      <c r="AA160" s="64">
        <f>IFERROR(VLOOKUP(F160,Sheet2!$AC$1:$AD$975,2,FALSE),0)</f>
        <v>0</v>
      </c>
      <c r="AB160" s="65">
        <f>IFERROR(VLOOKUP(F160,Sheet2!$AE$2:$AF$6539,2,FALSE),0)</f>
        <v>0</v>
      </c>
      <c r="AC160" s="43">
        <f>IFERROR(VLOOKUP(F160,Sheet2!$AG$2:$AH$6539,2,FALSE),0)</f>
        <v>0</v>
      </c>
      <c r="AE160" s="112">
        <v>0</v>
      </c>
      <c r="AF160" s="9">
        <v>0</v>
      </c>
      <c r="AG160" s="9">
        <v>0</v>
      </c>
      <c r="AH160" s="9">
        <v>0</v>
      </c>
      <c r="AI160" s="9">
        <v>0</v>
      </c>
      <c r="AJ160" s="9">
        <f t="shared" si="6"/>
        <v>0</v>
      </c>
      <c r="AK160" s="45">
        <f t="shared" si="7"/>
        <v>0</v>
      </c>
      <c r="AL160" s="68">
        <v>0</v>
      </c>
      <c r="AM160" s="68">
        <v>0</v>
      </c>
    </row>
    <row r="161" spans="1:39" x14ac:dyDescent="0.2">
      <c r="A161" s="57" t="s">
        <v>2082</v>
      </c>
      <c r="B161" s="47">
        <v>46173</v>
      </c>
      <c r="C161" s="108"/>
      <c r="D161" s="48" t="s">
        <v>1368</v>
      </c>
      <c r="E161" s="49" t="s">
        <v>370</v>
      </c>
      <c r="F161" s="49" t="s">
        <v>371</v>
      </c>
      <c r="G161" s="47" t="e">
        <v>#N/A</v>
      </c>
      <c r="H161" s="47" t="s">
        <v>94</v>
      </c>
      <c r="I161" s="9" t="s">
        <v>362</v>
      </c>
      <c r="J161" s="40" t="s">
        <v>363</v>
      </c>
      <c r="K161" s="9" t="s">
        <v>189</v>
      </c>
      <c r="L161" s="9" t="s">
        <v>35</v>
      </c>
      <c r="M161" s="11"/>
      <c r="N161" s="11"/>
      <c r="O161" s="50">
        <v>7.7760000000000007</v>
      </c>
      <c r="R161" s="9">
        <f>IFERROR(VLOOKUP(E161,Sheet6!$A$2:$B$500,2,FALSE),0)</f>
        <v>0</v>
      </c>
      <c r="S161" s="41">
        <f>IFERROR(VLOOKUP(E161,Sheet6!$C$2:$D$35017,2,FALSE),0)</f>
        <v>0</v>
      </c>
      <c r="U161" s="9">
        <f>IFERROR(VLOOKUP(E161,Sheet2!$AA$1:$AB$975,2,FALSE),0)</f>
        <v>0</v>
      </c>
      <c r="V161" s="41">
        <f>IFERROR(VLOOKUP(E161,Sheet2!$AC$1:$AD$975,2,FALSE),0)</f>
        <v>0</v>
      </c>
      <c r="W161" s="42">
        <f>IFERROR(VLOOKUP(E161,Sheet2!$AE$1:$AF$975,2,FALSE),0)</f>
        <v>0</v>
      </c>
      <c r="X161" s="43">
        <f>IFERROR(VLOOKUP(E161,Sheet2!$AG$1:$AH$975,2,FALSE),0)</f>
        <v>0</v>
      </c>
      <c r="Z161" s="60">
        <f>IFERROR(VLOOKUP(F161,Sheet2!$AA$1:$AB$975,2,FALSE),0)</f>
        <v>0</v>
      </c>
      <c r="AA161" s="64">
        <f>IFERROR(VLOOKUP(F161,Sheet2!$AC$1:$AD$975,2,FALSE),0)</f>
        <v>0</v>
      </c>
      <c r="AB161" s="65">
        <f>IFERROR(VLOOKUP(F161,Sheet2!$AE$2:$AF$6539,2,FALSE),0)</f>
        <v>0</v>
      </c>
      <c r="AC161" s="43">
        <f>IFERROR(VLOOKUP(F161,Sheet2!$AG$2:$AH$6539,2,FALSE),0)</f>
        <v>0</v>
      </c>
      <c r="AE161" s="112">
        <v>3</v>
      </c>
      <c r="AF161" s="9">
        <v>0</v>
      </c>
      <c r="AG161" s="9">
        <v>0</v>
      </c>
      <c r="AH161" s="9">
        <v>0</v>
      </c>
      <c r="AI161" s="9">
        <v>0</v>
      </c>
      <c r="AJ161" s="9">
        <f t="shared" si="6"/>
        <v>3</v>
      </c>
      <c r="AK161" s="45">
        <f t="shared" si="7"/>
        <v>23.328000000000003</v>
      </c>
      <c r="AL161" s="68">
        <v>0</v>
      </c>
      <c r="AM161" s="68">
        <v>0</v>
      </c>
    </row>
    <row r="162" spans="1:39" x14ac:dyDescent="0.2">
      <c r="A162" s="57" t="s">
        <v>2082</v>
      </c>
      <c r="B162" s="47">
        <v>46173</v>
      </c>
      <c r="C162" s="111"/>
      <c r="D162" s="48" t="s">
        <v>1369</v>
      </c>
      <c r="E162" s="49" t="s">
        <v>372</v>
      </c>
      <c r="F162" s="49" t="s">
        <v>373</v>
      </c>
      <c r="G162" s="47" t="e">
        <v>#N/A</v>
      </c>
      <c r="H162" s="47" t="s">
        <v>22</v>
      </c>
      <c r="I162" s="9" t="s">
        <v>374</v>
      </c>
      <c r="J162" s="40" t="s">
        <v>1851</v>
      </c>
      <c r="K162" s="9" t="s">
        <v>375</v>
      </c>
      <c r="L162" s="9" t="s">
        <v>188</v>
      </c>
      <c r="M162" s="11"/>
      <c r="N162" s="11"/>
      <c r="O162" s="50">
        <v>8.2799999999999994</v>
      </c>
      <c r="R162" s="9">
        <f>IFERROR(VLOOKUP(E162,Sheet6!$A$2:$B$500,2,FALSE),0)</f>
        <v>0</v>
      </c>
      <c r="S162" s="41">
        <f>IFERROR(VLOOKUP(E162,Sheet6!$C$2:$D$35017,2,FALSE),0)</f>
        <v>0</v>
      </c>
      <c r="U162" s="9">
        <f>IFERROR(VLOOKUP(E162,Sheet2!$AA$1:$AB$975,2,FALSE),0)</f>
        <v>0</v>
      </c>
      <c r="V162" s="41">
        <f>IFERROR(VLOOKUP(E162,Sheet2!$AC$1:$AD$975,2,FALSE),0)</f>
        <v>0</v>
      </c>
      <c r="W162" s="42">
        <f>IFERROR(VLOOKUP(E162,Sheet2!$AE$1:$AF$975,2,FALSE),0)</f>
        <v>0</v>
      </c>
      <c r="X162" s="43">
        <f>IFERROR(VLOOKUP(E162,Sheet2!$AG$1:$AH$975,2,FALSE),0)</f>
        <v>0</v>
      </c>
      <c r="Z162" s="60">
        <f>IFERROR(VLOOKUP(F162,Sheet2!$AA$1:$AB$975,2,FALSE),0)</f>
        <v>0</v>
      </c>
      <c r="AA162" s="64">
        <f>IFERROR(VLOOKUP(F162,Sheet2!$AC$1:$AD$975,2,FALSE),0)</f>
        <v>0</v>
      </c>
      <c r="AB162" s="65">
        <f>IFERROR(VLOOKUP(F162,Sheet2!$AE$2:$AF$6539,2,FALSE),0)</f>
        <v>0</v>
      </c>
      <c r="AC162" s="43">
        <f>IFERROR(VLOOKUP(F162,Sheet2!$AG$2:$AH$6539,2,FALSE),0)</f>
        <v>0</v>
      </c>
      <c r="AE162" s="112">
        <v>0</v>
      </c>
      <c r="AF162" s="9">
        <v>0</v>
      </c>
      <c r="AG162" s="9">
        <v>0</v>
      </c>
      <c r="AH162" s="9">
        <v>0</v>
      </c>
      <c r="AI162" s="9">
        <v>0</v>
      </c>
      <c r="AJ162" s="9">
        <f t="shared" si="6"/>
        <v>0</v>
      </c>
      <c r="AK162" s="45">
        <f t="shared" si="7"/>
        <v>0</v>
      </c>
      <c r="AL162" s="68">
        <v>0</v>
      </c>
      <c r="AM162" s="68">
        <v>0</v>
      </c>
    </row>
    <row r="163" spans="1:39" x14ac:dyDescent="0.2">
      <c r="A163" s="57" t="s">
        <v>2082</v>
      </c>
      <c r="B163" s="47">
        <v>46173</v>
      </c>
      <c r="C163" s="108"/>
      <c r="D163" s="48" t="s">
        <v>1370</v>
      </c>
      <c r="E163" s="49" t="s">
        <v>376</v>
      </c>
      <c r="F163" s="49" t="s">
        <v>377</v>
      </c>
      <c r="G163" s="47" t="e">
        <v>#N/A</v>
      </c>
      <c r="H163" s="47" t="s">
        <v>22</v>
      </c>
      <c r="I163" s="9" t="s">
        <v>378</v>
      </c>
      <c r="J163" s="40" t="s">
        <v>1110</v>
      </c>
      <c r="K163" s="9" t="s">
        <v>41</v>
      </c>
      <c r="L163" s="9" t="s">
        <v>32</v>
      </c>
      <c r="M163" s="11"/>
      <c r="N163" s="11"/>
      <c r="O163" s="50">
        <v>9.495000000000001</v>
      </c>
      <c r="R163" s="9">
        <f>IFERROR(VLOOKUP(E163,Sheet6!$A$2:$B$500,2,FALSE),0)</f>
        <v>0</v>
      </c>
      <c r="S163" s="41">
        <f>IFERROR(VLOOKUP(E163,Sheet6!$C$2:$D$35017,2,FALSE),0)</f>
        <v>0</v>
      </c>
      <c r="U163" s="9">
        <f>IFERROR(VLOOKUP(E163,Sheet2!$AA$1:$AB$975,2,FALSE),0)</f>
        <v>0</v>
      </c>
      <c r="V163" s="41">
        <f>IFERROR(VLOOKUP(E163,Sheet2!$AC$1:$AD$975,2,FALSE),0)</f>
        <v>0</v>
      </c>
      <c r="W163" s="42">
        <f>IFERROR(VLOOKUP(E163,Sheet2!$AE$1:$AF$975,2,FALSE),0)</f>
        <v>0</v>
      </c>
      <c r="X163" s="43">
        <f>IFERROR(VLOOKUP(E163,Sheet2!$AG$1:$AH$975,2,FALSE),0)</f>
        <v>0</v>
      </c>
      <c r="Z163" s="60">
        <f>IFERROR(VLOOKUP(F163,Sheet2!$AA$1:$AB$975,2,FALSE),0)</f>
        <v>0</v>
      </c>
      <c r="AA163" s="64">
        <f>IFERROR(VLOOKUP(F163,Sheet2!$AC$1:$AD$975,2,FALSE),0)</f>
        <v>0</v>
      </c>
      <c r="AB163" s="65">
        <f>IFERROR(VLOOKUP(F163,Sheet2!$AE$2:$AF$6539,2,FALSE),0)</f>
        <v>0</v>
      </c>
      <c r="AC163" s="43">
        <f>IFERROR(VLOOKUP(F163,Sheet2!$AG$2:$AH$6539,2,FALSE),0)</f>
        <v>0</v>
      </c>
      <c r="AE163" s="112">
        <v>25</v>
      </c>
      <c r="AF163" s="9">
        <v>0</v>
      </c>
      <c r="AG163" s="9">
        <v>0</v>
      </c>
      <c r="AH163" s="9">
        <v>0</v>
      </c>
      <c r="AI163" s="9">
        <v>0</v>
      </c>
      <c r="AJ163" s="9">
        <f t="shared" si="6"/>
        <v>25</v>
      </c>
      <c r="AK163" s="45">
        <f t="shared" si="7"/>
        <v>237.37500000000003</v>
      </c>
      <c r="AL163" s="68">
        <v>0</v>
      </c>
      <c r="AM163" s="68">
        <v>0</v>
      </c>
    </row>
    <row r="164" spans="1:39" x14ac:dyDescent="0.2">
      <c r="A164" s="57" t="s">
        <v>2082</v>
      </c>
      <c r="B164" s="47">
        <v>46173</v>
      </c>
      <c r="C164" s="108"/>
      <c r="D164" s="48" t="s">
        <v>1371</v>
      </c>
      <c r="E164" s="49" t="s">
        <v>379</v>
      </c>
      <c r="F164" s="49" t="s">
        <v>380</v>
      </c>
      <c r="G164" s="47" t="s">
        <v>958</v>
      </c>
      <c r="H164" s="47" t="s">
        <v>22</v>
      </c>
      <c r="I164" s="9" t="s">
        <v>378</v>
      </c>
      <c r="J164" s="40" t="s">
        <v>1110</v>
      </c>
      <c r="K164" s="9" t="s">
        <v>41</v>
      </c>
      <c r="L164" s="9" t="s">
        <v>35</v>
      </c>
      <c r="M164" s="11"/>
      <c r="N164" s="11"/>
      <c r="O164" s="50">
        <v>9.495000000000001</v>
      </c>
      <c r="R164" s="9">
        <f>IFERROR(VLOOKUP(E164,Sheet6!$A$2:$B$500,2,FALSE),0)</f>
        <v>0</v>
      </c>
      <c r="S164" s="41">
        <f>IFERROR(VLOOKUP(E164,Sheet6!$C$2:$D$35017,2,FALSE),0)</f>
        <v>0</v>
      </c>
      <c r="U164" s="9">
        <f>IFERROR(VLOOKUP(E164,Sheet2!$AA$1:$AB$975,2,FALSE),0)</f>
        <v>0</v>
      </c>
      <c r="V164" s="41">
        <f>IFERROR(VLOOKUP(E164,Sheet2!$AC$1:$AD$975,2,FALSE),0)</f>
        <v>0</v>
      </c>
      <c r="W164" s="42">
        <f>IFERROR(VLOOKUP(E164,Sheet2!$AE$1:$AF$975,2,FALSE),0)</f>
        <v>0</v>
      </c>
      <c r="X164" s="43">
        <f>IFERROR(VLOOKUP(E164,Sheet2!$AG$1:$AH$975,2,FALSE),0)</f>
        <v>0</v>
      </c>
      <c r="Z164" s="60">
        <f>IFERROR(VLOOKUP(F164,Sheet2!$AA$1:$AB$975,2,FALSE),0)</f>
        <v>0</v>
      </c>
      <c r="AA164" s="64">
        <f>IFERROR(VLOOKUP(F164,Sheet2!$AC$1:$AD$975,2,FALSE),0)</f>
        <v>0</v>
      </c>
      <c r="AB164" s="65">
        <f>IFERROR(VLOOKUP(F164,Sheet2!$AE$2:$AF$6539,2,FALSE),0)</f>
        <v>0</v>
      </c>
      <c r="AC164" s="43">
        <f>IFERROR(VLOOKUP(F164,Sheet2!$AG$2:$AH$6539,2,FALSE),0)</f>
        <v>0</v>
      </c>
      <c r="AE164" s="112">
        <v>9</v>
      </c>
      <c r="AF164" s="9">
        <v>0</v>
      </c>
      <c r="AG164" s="9">
        <v>0</v>
      </c>
      <c r="AH164" s="9">
        <v>0</v>
      </c>
      <c r="AI164" s="9">
        <v>0</v>
      </c>
      <c r="AJ164" s="9">
        <f t="shared" si="6"/>
        <v>9</v>
      </c>
      <c r="AK164" s="45">
        <f t="shared" si="7"/>
        <v>85.455000000000013</v>
      </c>
      <c r="AL164" s="68">
        <v>0</v>
      </c>
      <c r="AM164" s="68">
        <v>0</v>
      </c>
    </row>
    <row r="165" spans="1:39" x14ac:dyDescent="0.2">
      <c r="A165" s="57" t="s">
        <v>2082</v>
      </c>
      <c r="B165" s="47">
        <v>46173</v>
      </c>
      <c r="C165" s="108"/>
      <c r="D165" s="48" t="s">
        <v>1372</v>
      </c>
      <c r="E165" s="49" t="s">
        <v>381</v>
      </c>
      <c r="F165" s="49" t="s">
        <v>382</v>
      </c>
      <c r="G165" s="47" t="e">
        <v>#N/A</v>
      </c>
      <c r="H165" s="47" t="s">
        <v>22</v>
      </c>
      <c r="I165" s="9" t="s">
        <v>378</v>
      </c>
      <c r="J165" s="40" t="s">
        <v>1110</v>
      </c>
      <c r="K165" s="9" t="s">
        <v>189</v>
      </c>
      <c r="L165" s="9" t="s">
        <v>29</v>
      </c>
      <c r="M165" s="11"/>
      <c r="N165" s="11"/>
      <c r="O165" s="50">
        <v>9.495000000000001</v>
      </c>
      <c r="R165" s="9">
        <f>IFERROR(VLOOKUP(E165,Sheet6!$A$2:$B$500,2,FALSE),0)</f>
        <v>0</v>
      </c>
      <c r="S165" s="41">
        <f>IFERROR(VLOOKUP(E165,Sheet6!$C$2:$D$35017,2,FALSE),0)</f>
        <v>0</v>
      </c>
      <c r="U165" s="9">
        <f>IFERROR(VLOOKUP(E165,Sheet2!$AA$1:$AB$975,2,FALSE),0)</f>
        <v>0</v>
      </c>
      <c r="V165" s="41">
        <f>IFERROR(VLOOKUP(E165,Sheet2!$AC$1:$AD$975,2,FALSE),0)</f>
        <v>0</v>
      </c>
      <c r="W165" s="42">
        <f>IFERROR(VLOOKUP(E165,Sheet2!$AE$1:$AF$975,2,FALSE),0)</f>
        <v>0</v>
      </c>
      <c r="X165" s="43">
        <f>IFERROR(VLOOKUP(E165,Sheet2!$AG$1:$AH$975,2,FALSE),0)</f>
        <v>0</v>
      </c>
      <c r="Z165" s="60">
        <f>IFERROR(VLOOKUP(F165,Sheet2!$AA$1:$AB$975,2,FALSE),0)</f>
        <v>0</v>
      </c>
      <c r="AA165" s="64">
        <f>IFERROR(VLOOKUP(F165,Sheet2!$AC$1:$AD$975,2,FALSE),0)</f>
        <v>0</v>
      </c>
      <c r="AB165" s="65">
        <f>IFERROR(VLOOKUP(F165,Sheet2!$AE$2:$AF$6539,2,FALSE),0)</f>
        <v>0</v>
      </c>
      <c r="AC165" s="43">
        <f>IFERROR(VLOOKUP(F165,Sheet2!$AG$2:$AH$6539,2,FALSE),0)</f>
        <v>0</v>
      </c>
      <c r="AE165" s="112">
        <v>0</v>
      </c>
      <c r="AF165" s="9">
        <v>0</v>
      </c>
      <c r="AG165" s="9">
        <v>0</v>
      </c>
      <c r="AH165" s="9">
        <v>0</v>
      </c>
      <c r="AI165" s="9">
        <v>0</v>
      </c>
      <c r="AJ165" s="9">
        <f t="shared" si="6"/>
        <v>0</v>
      </c>
      <c r="AK165" s="45">
        <f t="shared" si="7"/>
        <v>0</v>
      </c>
      <c r="AL165" s="68">
        <v>0</v>
      </c>
      <c r="AM165" s="68">
        <v>0</v>
      </c>
    </row>
    <row r="166" spans="1:39" x14ac:dyDescent="0.2">
      <c r="A166" s="57" t="s">
        <v>2082</v>
      </c>
      <c r="B166" s="47">
        <v>46173</v>
      </c>
      <c r="C166" s="108"/>
      <c r="D166" s="48" t="s">
        <v>1373</v>
      </c>
      <c r="E166" s="49" t="s">
        <v>383</v>
      </c>
      <c r="F166" s="49" t="s">
        <v>384</v>
      </c>
      <c r="G166" s="47" t="e">
        <v>#N/A</v>
      </c>
      <c r="H166" s="47" t="s">
        <v>22</v>
      </c>
      <c r="I166" s="9" t="s">
        <v>378</v>
      </c>
      <c r="J166" s="40" t="s">
        <v>1110</v>
      </c>
      <c r="K166" s="9" t="s">
        <v>189</v>
      </c>
      <c r="L166" s="9" t="s">
        <v>32</v>
      </c>
      <c r="M166" s="11"/>
      <c r="N166" s="11"/>
      <c r="O166" s="50">
        <v>9.495000000000001</v>
      </c>
      <c r="R166" s="9">
        <f>IFERROR(VLOOKUP(E166,Sheet6!$A$2:$B$500,2,FALSE),0)</f>
        <v>0</v>
      </c>
      <c r="S166" s="41">
        <f>IFERROR(VLOOKUP(E166,Sheet6!$C$2:$D$35017,2,FALSE),0)</f>
        <v>0</v>
      </c>
      <c r="U166" s="9">
        <f>IFERROR(VLOOKUP(E166,Sheet2!$AA$1:$AB$975,2,FALSE),0)</f>
        <v>0</v>
      </c>
      <c r="V166" s="41">
        <f>IFERROR(VLOOKUP(E166,Sheet2!$AC$1:$AD$975,2,FALSE),0)</f>
        <v>0</v>
      </c>
      <c r="W166" s="42">
        <f>IFERROR(VLOOKUP(E166,Sheet2!$AE$1:$AF$975,2,FALSE),0)</f>
        <v>0</v>
      </c>
      <c r="X166" s="43">
        <f>IFERROR(VLOOKUP(E166,Sheet2!$AG$1:$AH$975,2,FALSE),0)</f>
        <v>0</v>
      </c>
      <c r="Z166" s="60">
        <f>IFERROR(VLOOKUP(F166,Sheet2!$AA$1:$AB$975,2,FALSE),0)</f>
        <v>0</v>
      </c>
      <c r="AA166" s="64">
        <f>IFERROR(VLOOKUP(F166,Sheet2!$AC$1:$AD$975,2,FALSE),0)</f>
        <v>0</v>
      </c>
      <c r="AB166" s="65">
        <f>IFERROR(VLOOKUP(F166,Sheet2!$AE$2:$AF$6539,2,FALSE),0)</f>
        <v>0</v>
      </c>
      <c r="AC166" s="43">
        <f>IFERROR(VLOOKUP(F166,Sheet2!$AG$2:$AH$6539,2,FALSE),0)</f>
        <v>0</v>
      </c>
      <c r="AE166" s="112">
        <v>0</v>
      </c>
      <c r="AF166" s="9">
        <v>0</v>
      </c>
      <c r="AG166" s="9">
        <v>0</v>
      </c>
      <c r="AH166" s="9">
        <v>0</v>
      </c>
      <c r="AI166" s="9">
        <v>0</v>
      </c>
      <c r="AJ166" s="9">
        <f t="shared" si="6"/>
        <v>0</v>
      </c>
      <c r="AK166" s="45">
        <f t="shared" si="7"/>
        <v>0</v>
      </c>
      <c r="AL166" s="68">
        <v>0</v>
      </c>
      <c r="AM166" s="68">
        <v>0</v>
      </c>
    </row>
    <row r="167" spans="1:39" x14ac:dyDescent="0.2">
      <c r="A167" s="57" t="s">
        <v>2082</v>
      </c>
      <c r="B167" s="47">
        <v>46173</v>
      </c>
      <c r="C167" s="108"/>
      <c r="D167" s="48" t="s">
        <v>1374</v>
      </c>
      <c r="E167" s="49" t="s">
        <v>385</v>
      </c>
      <c r="F167" s="49" t="s">
        <v>386</v>
      </c>
      <c r="G167" s="47" t="e">
        <v>#N/A</v>
      </c>
      <c r="H167" s="47" t="s">
        <v>22</v>
      </c>
      <c r="I167" s="9" t="s">
        <v>378</v>
      </c>
      <c r="J167" s="40" t="s">
        <v>1110</v>
      </c>
      <c r="K167" s="9" t="s">
        <v>189</v>
      </c>
      <c r="L167" s="9" t="s">
        <v>35</v>
      </c>
      <c r="M167" s="11"/>
      <c r="N167" s="11"/>
      <c r="O167" s="50">
        <v>9.495000000000001</v>
      </c>
      <c r="R167" s="9">
        <f>IFERROR(VLOOKUP(E167,Sheet6!$A$2:$B$500,2,FALSE),0)</f>
        <v>0</v>
      </c>
      <c r="S167" s="41">
        <f>IFERROR(VLOOKUP(E167,Sheet6!$C$2:$D$35017,2,FALSE),0)</f>
        <v>0</v>
      </c>
      <c r="U167" s="9">
        <f>IFERROR(VLOOKUP(E167,Sheet2!$AA$1:$AB$975,2,FALSE),0)</f>
        <v>0</v>
      </c>
      <c r="V167" s="41">
        <f>IFERROR(VLOOKUP(E167,Sheet2!$AC$1:$AD$975,2,FALSE),0)</f>
        <v>0</v>
      </c>
      <c r="W167" s="42">
        <f>IFERROR(VLOOKUP(E167,Sheet2!$AE$1:$AF$975,2,FALSE),0)</f>
        <v>0</v>
      </c>
      <c r="X167" s="43">
        <f>IFERROR(VLOOKUP(E167,Sheet2!$AG$1:$AH$975,2,FALSE),0)</f>
        <v>0</v>
      </c>
      <c r="Z167" s="60">
        <f>IFERROR(VLOOKUP(F167,Sheet2!$AA$1:$AB$975,2,FALSE),0)</f>
        <v>0</v>
      </c>
      <c r="AA167" s="64">
        <f>IFERROR(VLOOKUP(F167,Sheet2!$AC$1:$AD$975,2,FALSE),0)</f>
        <v>0</v>
      </c>
      <c r="AB167" s="65">
        <f>IFERROR(VLOOKUP(F167,Sheet2!$AE$2:$AF$6539,2,FALSE),0)</f>
        <v>0</v>
      </c>
      <c r="AC167" s="43">
        <f>IFERROR(VLOOKUP(F167,Sheet2!$AG$2:$AH$6539,2,FALSE),0)</f>
        <v>0</v>
      </c>
      <c r="AE167" s="112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f t="shared" si="6"/>
        <v>0</v>
      </c>
      <c r="AK167" s="45">
        <f t="shared" si="7"/>
        <v>0</v>
      </c>
      <c r="AL167" s="68">
        <v>0</v>
      </c>
      <c r="AM167" s="68">
        <v>0</v>
      </c>
    </row>
    <row r="168" spans="1:39" x14ac:dyDescent="0.2">
      <c r="A168" s="57" t="s">
        <v>2082</v>
      </c>
      <c r="B168" s="47">
        <v>46173</v>
      </c>
      <c r="C168" s="108"/>
      <c r="D168" s="48" t="s">
        <v>1375</v>
      </c>
      <c r="E168" s="49" t="s">
        <v>387</v>
      </c>
      <c r="F168" s="49" t="s">
        <v>388</v>
      </c>
      <c r="G168" s="47" t="e">
        <v>#N/A</v>
      </c>
      <c r="H168" s="47" t="s">
        <v>94</v>
      </c>
      <c r="I168" s="9" t="s">
        <v>378</v>
      </c>
      <c r="J168" s="40" t="s">
        <v>1110</v>
      </c>
      <c r="K168" s="9" t="s">
        <v>389</v>
      </c>
      <c r="L168" s="9" t="s">
        <v>29</v>
      </c>
      <c r="M168" s="11"/>
      <c r="N168" s="11"/>
      <c r="O168" s="50">
        <v>9.495000000000001</v>
      </c>
      <c r="R168" s="9">
        <f>IFERROR(VLOOKUP(E168,Sheet6!$A$2:$B$500,2,FALSE),0)</f>
        <v>0</v>
      </c>
      <c r="S168" s="41">
        <f>IFERROR(VLOOKUP(E168,Sheet6!$C$2:$D$35017,2,FALSE),0)</f>
        <v>0</v>
      </c>
      <c r="U168" s="9">
        <f>IFERROR(VLOOKUP(E168,Sheet2!$AA$1:$AB$975,2,FALSE),0)</f>
        <v>0</v>
      </c>
      <c r="V168" s="41">
        <f>IFERROR(VLOOKUP(E168,Sheet2!$AC$1:$AD$975,2,FALSE),0)</f>
        <v>0</v>
      </c>
      <c r="W168" s="42">
        <f>IFERROR(VLOOKUP(E168,Sheet2!$AE$1:$AF$975,2,FALSE),0)</f>
        <v>0</v>
      </c>
      <c r="X168" s="43">
        <f>IFERROR(VLOOKUP(E168,Sheet2!$AG$1:$AH$975,2,FALSE),0)</f>
        <v>0</v>
      </c>
      <c r="Z168" s="60">
        <f>IFERROR(VLOOKUP(F168,Sheet2!$AA$1:$AB$975,2,FALSE),0)</f>
        <v>0</v>
      </c>
      <c r="AA168" s="64">
        <f>IFERROR(VLOOKUP(F168,Sheet2!$AC$1:$AD$975,2,FALSE),0)</f>
        <v>0</v>
      </c>
      <c r="AB168" s="65">
        <f>IFERROR(VLOOKUP(F168,Sheet2!$AE$2:$AF$6539,2,FALSE),0)</f>
        <v>0</v>
      </c>
      <c r="AC168" s="43">
        <f>IFERROR(VLOOKUP(F168,Sheet2!$AG$2:$AH$6539,2,FALSE),0)</f>
        <v>0</v>
      </c>
      <c r="AE168" s="112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f t="shared" si="6"/>
        <v>0</v>
      </c>
      <c r="AK168" s="45">
        <f t="shared" si="7"/>
        <v>0</v>
      </c>
      <c r="AL168" s="68">
        <v>0</v>
      </c>
      <c r="AM168" s="68">
        <v>0</v>
      </c>
    </row>
    <row r="169" spans="1:39" x14ac:dyDescent="0.2">
      <c r="A169" s="57" t="s">
        <v>2082</v>
      </c>
      <c r="B169" s="47">
        <v>46173</v>
      </c>
      <c r="C169" s="108"/>
      <c r="D169" s="48" t="s">
        <v>1376</v>
      </c>
      <c r="E169" s="49" t="s">
        <v>390</v>
      </c>
      <c r="F169" s="49" t="s">
        <v>391</v>
      </c>
      <c r="G169" s="47" t="e">
        <v>#N/A</v>
      </c>
      <c r="H169" s="47" t="s">
        <v>94</v>
      </c>
      <c r="I169" s="9" t="s">
        <v>378</v>
      </c>
      <c r="J169" s="40" t="s">
        <v>1110</v>
      </c>
      <c r="K169" s="9" t="s">
        <v>389</v>
      </c>
      <c r="L169" s="9" t="s">
        <v>32</v>
      </c>
      <c r="M169" s="11"/>
      <c r="N169" s="11"/>
      <c r="O169" s="50">
        <v>9.495000000000001</v>
      </c>
      <c r="R169" s="9">
        <f>IFERROR(VLOOKUP(E169,Sheet6!$A$2:$B$500,2,FALSE),0)</f>
        <v>0</v>
      </c>
      <c r="S169" s="41">
        <f>IFERROR(VLOOKUP(E169,Sheet6!$C$2:$D$35017,2,FALSE),0)</f>
        <v>0</v>
      </c>
      <c r="U169" s="9">
        <f>IFERROR(VLOOKUP(E169,Sheet2!$AA$1:$AB$975,2,FALSE),0)</f>
        <v>0</v>
      </c>
      <c r="V169" s="41">
        <f>IFERROR(VLOOKUP(E169,Sheet2!$AC$1:$AD$975,2,FALSE),0)</f>
        <v>0</v>
      </c>
      <c r="W169" s="42">
        <f>IFERROR(VLOOKUP(E169,Sheet2!$AE$1:$AF$975,2,FALSE),0)</f>
        <v>0</v>
      </c>
      <c r="X169" s="43">
        <f>IFERROR(VLOOKUP(E169,Sheet2!$AG$1:$AH$975,2,FALSE),0)</f>
        <v>0</v>
      </c>
      <c r="Z169" s="60">
        <f>IFERROR(VLOOKUP(F169,Sheet2!$AA$1:$AB$975,2,FALSE),0)</f>
        <v>0</v>
      </c>
      <c r="AA169" s="64">
        <f>IFERROR(VLOOKUP(F169,Sheet2!$AC$1:$AD$975,2,FALSE),0)</f>
        <v>0</v>
      </c>
      <c r="AB169" s="65">
        <f>IFERROR(VLOOKUP(F169,Sheet2!$AE$2:$AF$6539,2,FALSE),0)</f>
        <v>0</v>
      </c>
      <c r="AC169" s="43">
        <f>IFERROR(VLOOKUP(F169,Sheet2!$AG$2:$AH$6539,2,FALSE),0)</f>
        <v>0</v>
      </c>
      <c r="AE169" s="112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f t="shared" si="6"/>
        <v>0</v>
      </c>
      <c r="AK169" s="45">
        <f t="shared" si="7"/>
        <v>0</v>
      </c>
      <c r="AL169" s="68">
        <v>0</v>
      </c>
      <c r="AM169" s="68">
        <v>0</v>
      </c>
    </row>
    <row r="170" spans="1:39" x14ac:dyDescent="0.2">
      <c r="A170" s="57" t="s">
        <v>2082</v>
      </c>
      <c r="B170" s="47">
        <v>46173</v>
      </c>
      <c r="C170" s="48"/>
      <c r="D170" s="48" t="s">
        <v>1377</v>
      </c>
      <c r="E170" s="49" t="s">
        <v>1103</v>
      </c>
      <c r="F170" s="49" t="s">
        <v>1102</v>
      </c>
      <c r="G170" s="47" t="e">
        <v>#N/A</v>
      </c>
      <c r="H170" s="47" t="s">
        <v>94</v>
      </c>
      <c r="I170" s="9" t="s">
        <v>378</v>
      </c>
      <c r="J170" s="40" t="s">
        <v>1110</v>
      </c>
      <c r="K170" s="9" t="s">
        <v>389</v>
      </c>
      <c r="L170" s="9" t="s">
        <v>35</v>
      </c>
      <c r="M170" s="11"/>
      <c r="N170" s="11"/>
      <c r="O170" s="50">
        <v>9.495000000000001</v>
      </c>
      <c r="R170" s="9">
        <f>IFERROR(VLOOKUP(E170,Sheet6!$A$2:$B$500,2,FALSE),0)</f>
        <v>0</v>
      </c>
      <c r="S170" s="41">
        <f>IFERROR(VLOOKUP(E170,Sheet6!$C$2:$D$35017,2,FALSE),0)</f>
        <v>0</v>
      </c>
      <c r="U170" s="9">
        <f>IFERROR(VLOOKUP(E170,Sheet2!$AA$1:$AB$975,2,FALSE),0)</f>
        <v>0</v>
      </c>
      <c r="V170" s="41">
        <f>IFERROR(VLOOKUP(E170,Sheet2!$AC$1:$AD$975,2,FALSE),0)</f>
        <v>0</v>
      </c>
      <c r="W170" s="42">
        <f>IFERROR(VLOOKUP(E170,Sheet2!$AE$1:$AF$975,2,FALSE),0)</f>
        <v>0</v>
      </c>
      <c r="X170" s="43">
        <f>IFERROR(VLOOKUP(E170,Sheet2!$AG$1:$AH$975,2,FALSE),0)</f>
        <v>0</v>
      </c>
      <c r="Z170" s="60">
        <f>IFERROR(VLOOKUP(F170,Sheet2!$AA$1:$AB$975,2,FALSE),0)</f>
        <v>1</v>
      </c>
      <c r="AA170" s="64">
        <f>IFERROR(VLOOKUP(F170,Sheet2!$AC$1:$AD$975,2,FALSE),0)</f>
        <v>21.99</v>
      </c>
      <c r="AB170" s="65">
        <f>IFERROR(VLOOKUP(F170,Sheet2!$AE$2:$AF$6539,2,FALSE),0)</f>
        <v>18</v>
      </c>
      <c r="AC170" s="43">
        <f>IFERROR(VLOOKUP(F170,Sheet2!$AG$2:$AH$6539,2,FALSE),0)</f>
        <v>1</v>
      </c>
      <c r="AE170" s="112">
        <v>0</v>
      </c>
      <c r="AF170" s="9">
        <v>6</v>
      </c>
      <c r="AG170" s="9">
        <v>0</v>
      </c>
      <c r="AH170" s="9">
        <v>0</v>
      </c>
      <c r="AI170" s="9">
        <v>6</v>
      </c>
      <c r="AJ170" s="9">
        <f t="shared" si="6"/>
        <v>6</v>
      </c>
      <c r="AK170" s="45">
        <f t="shared" si="7"/>
        <v>56.970000000000006</v>
      </c>
      <c r="AL170" s="68">
        <v>0</v>
      </c>
      <c r="AM170" s="68">
        <v>0</v>
      </c>
    </row>
    <row r="171" spans="1:39" x14ac:dyDescent="0.2">
      <c r="A171" s="57" t="s">
        <v>2082</v>
      </c>
      <c r="B171" s="47">
        <v>46173</v>
      </c>
      <c r="C171" s="111"/>
      <c r="D171" s="48" t="s">
        <v>1378</v>
      </c>
      <c r="E171" s="49" t="s">
        <v>398</v>
      </c>
      <c r="F171" s="49" t="s">
        <v>399</v>
      </c>
      <c r="G171" s="47" t="e">
        <v>#N/A</v>
      </c>
      <c r="H171" s="47" t="s">
        <v>94</v>
      </c>
      <c r="I171" s="9" t="s">
        <v>396</v>
      </c>
      <c r="J171" s="40" t="s">
        <v>397</v>
      </c>
      <c r="K171" s="9" t="s">
        <v>393</v>
      </c>
      <c r="L171" s="9" t="s">
        <v>29</v>
      </c>
      <c r="M171" s="11"/>
      <c r="N171" s="11"/>
      <c r="O171" s="50">
        <v>7.7760000000000007</v>
      </c>
      <c r="R171" s="9">
        <f>IFERROR(VLOOKUP(E171,Sheet6!$A$2:$B$500,2,FALSE),0)</f>
        <v>0</v>
      </c>
      <c r="S171" s="41">
        <f>IFERROR(VLOOKUP(E171,Sheet6!$C$2:$D$35017,2,FALSE),0)</f>
        <v>0</v>
      </c>
      <c r="U171" s="9">
        <f>IFERROR(VLOOKUP(E171,Sheet2!$AA$1:$AB$975,2,FALSE),0)</f>
        <v>0</v>
      </c>
      <c r="V171" s="41">
        <f>IFERROR(VLOOKUP(E171,Sheet2!$AC$1:$AD$975,2,FALSE),0)</f>
        <v>0</v>
      </c>
      <c r="W171" s="42">
        <f>IFERROR(VLOOKUP(E171,Sheet2!$AE$1:$AF$975,2,FALSE),0)</f>
        <v>0</v>
      </c>
      <c r="X171" s="43">
        <f>IFERROR(VLOOKUP(E171,Sheet2!$AG$1:$AH$975,2,FALSE),0)</f>
        <v>0</v>
      </c>
      <c r="Z171" s="60">
        <f>IFERROR(VLOOKUP(F171,Sheet2!$AA$1:$AB$975,2,FALSE),0)</f>
        <v>0</v>
      </c>
      <c r="AA171" s="64">
        <f>IFERROR(VLOOKUP(F171,Sheet2!$AC$1:$AD$975,2,FALSE),0)</f>
        <v>0</v>
      </c>
      <c r="AB171" s="65">
        <f>IFERROR(VLOOKUP(F171,Sheet2!$AE$2:$AF$6539,2,FALSE),0)</f>
        <v>0</v>
      </c>
      <c r="AC171" s="43">
        <f>IFERROR(VLOOKUP(F171,Sheet2!$AG$2:$AH$6539,2,FALSE),0)</f>
        <v>0</v>
      </c>
      <c r="AE171" s="112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f t="shared" si="6"/>
        <v>0</v>
      </c>
      <c r="AK171" s="45">
        <f t="shared" si="7"/>
        <v>0</v>
      </c>
      <c r="AL171" s="68">
        <v>0</v>
      </c>
      <c r="AM171" s="68">
        <v>0</v>
      </c>
    </row>
    <row r="172" spans="1:39" x14ac:dyDescent="0.2">
      <c r="A172" s="57" t="s">
        <v>2082</v>
      </c>
      <c r="B172" s="47">
        <v>46173</v>
      </c>
      <c r="C172" s="111"/>
      <c r="D172" s="48" t="s">
        <v>1379</v>
      </c>
      <c r="E172" s="49" t="s">
        <v>400</v>
      </c>
      <c r="F172" s="49" t="s">
        <v>401</v>
      </c>
      <c r="G172" s="47" t="e">
        <v>#N/A</v>
      </c>
      <c r="H172" s="47" t="s">
        <v>94</v>
      </c>
      <c r="I172" s="9" t="s">
        <v>396</v>
      </c>
      <c r="J172" s="40" t="s">
        <v>397</v>
      </c>
      <c r="K172" s="9" t="s">
        <v>402</v>
      </c>
      <c r="L172" s="9" t="s">
        <v>188</v>
      </c>
      <c r="M172" s="11"/>
      <c r="N172" s="11"/>
      <c r="O172" s="50">
        <v>7.7760000000000007</v>
      </c>
      <c r="R172" s="9">
        <f>IFERROR(VLOOKUP(E172,Sheet6!$A$2:$B$500,2,FALSE),0)</f>
        <v>0</v>
      </c>
      <c r="S172" s="41">
        <f>IFERROR(VLOOKUP(E172,Sheet6!$C$2:$D$35017,2,FALSE),0)</f>
        <v>0</v>
      </c>
      <c r="U172" s="9">
        <f>IFERROR(VLOOKUP(E172,Sheet2!$AA$1:$AB$975,2,FALSE),0)</f>
        <v>0</v>
      </c>
      <c r="V172" s="41">
        <f>IFERROR(VLOOKUP(E172,Sheet2!$AC$1:$AD$975,2,FALSE),0)</f>
        <v>0</v>
      </c>
      <c r="W172" s="42">
        <f>IFERROR(VLOOKUP(E172,Sheet2!$AE$1:$AF$975,2,FALSE),0)</f>
        <v>0</v>
      </c>
      <c r="X172" s="43">
        <f>IFERROR(VLOOKUP(E172,Sheet2!$AG$1:$AH$975,2,FALSE),0)</f>
        <v>0</v>
      </c>
      <c r="Z172" s="60">
        <f>IFERROR(VLOOKUP(F172,Sheet2!$AA$1:$AB$975,2,FALSE),0)</f>
        <v>0</v>
      </c>
      <c r="AA172" s="64">
        <f>IFERROR(VLOOKUP(F172,Sheet2!$AC$1:$AD$975,2,FALSE),0)</f>
        <v>0</v>
      </c>
      <c r="AB172" s="65">
        <f>IFERROR(VLOOKUP(F172,Sheet2!$AE$2:$AF$6539,2,FALSE),0)</f>
        <v>0</v>
      </c>
      <c r="AC172" s="43">
        <f>IFERROR(VLOOKUP(F172,Sheet2!$AG$2:$AH$6539,2,FALSE),0)</f>
        <v>0</v>
      </c>
      <c r="AE172" s="112">
        <v>0</v>
      </c>
      <c r="AF172" s="9">
        <v>0</v>
      </c>
      <c r="AG172" s="9">
        <v>0</v>
      </c>
      <c r="AH172" s="9">
        <v>0</v>
      </c>
      <c r="AI172" s="9">
        <v>0</v>
      </c>
      <c r="AJ172" s="9">
        <f t="shared" si="6"/>
        <v>0</v>
      </c>
      <c r="AK172" s="45">
        <f t="shared" si="7"/>
        <v>0</v>
      </c>
      <c r="AL172" s="68">
        <v>0</v>
      </c>
      <c r="AM172" s="68">
        <v>0</v>
      </c>
    </row>
    <row r="173" spans="1:39" x14ac:dyDescent="0.2">
      <c r="A173" s="57" t="s">
        <v>2082</v>
      </c>
      <c r="B173" s="47">
        <v>46173</v>
      </c>
      <c r="C173" s="111"/>
      <c r="D173" s="48" t="s">
        <v>1380</v>
      </c>
      <c r="E173" s="49" t="s">
        <v>403</v>
      </c>
      <c r="F173" s="49" t="s">
        <v>404</v>
      </c>
      <c r="G173" s="47" t="e">
        <v>#N/A</v>
      </c>
      <c r="H173" s="47" t="s">
        <v>94</v>
      </c>
      <c r="I173" s="9" t="s">
        <v>396</v>
      </c>
      <c r="J173" s="40" t="s">
        <v>397</v>
      </c>
      <c r="K173" s="9" t="s">
        <v>394</v>
      </c>
      <c r="L173" s="9" t="s">
        <v>188</v>
      </c>
      <c r="M173" s="11"/>
      <c r="N173" s="11"/>
      <c r="O173" s="50">
        <v>7.7760000000000007</v>
      </c>
      <c r="R173" s="9">
        <f>IFERROR(VLOOKUP(E173,Sheet6!$A$2:$B$500,2,FALSE),0)</f>
        <v>0</v>
      </c>
      <c r="S173" s="41">
        <f>IFERROR(VLOOKUP(E173,Sheet6!$C$2:$D$35017,2,FALSE),0)</f>
        <v>0</v>
      </c>
      <c r="U173" s="9">
        <f>IFERROR(VLOOKUP(E173,Sheet2!$AA$1:$AB$975,2,FALSE),0)</f>
        <v>0</v>
      </c>
      <c r="V173" s="41">
        <f>IFERROR(VLOOKUP(E173,Sheet2!$AC$1:$AD$975,2,FALSE),0)</f>
        <v>0</v>
      </c>
      <c r="W173" s="42">
        <f>IFERROR(VLOOKUP(E173,Sheet2!$AE$1:$AF$975,2,FALSE),0)</f>
        <v>0</v>
      </c>
      <c r="X173" s="43">
        <f>IFERROR(VLOOKUP(E173,Sheet2!$AG$1:$AH$975,2,FALSE),0)</f>
        <v>0</v>
      </c>
      <c r="Z173" s="60">
        <f>IFERROR(VLOOKUP(F173,Sheet2!$AA$1:$AB$975,2,FALSE),0)</f>
        <v>0</v>
      </c>
      <c r="AA173" s="64">
        <f>IFERROR(VLOOKUP(F173,Sheet2!$AC$1:$AD$975,2,FALSE),0)</f>
        <v>0</v>
      </c>
      <c r="AB173" s="65">
        <f>IFERROR(VLOOKUP(F173,Sheet2!$AE$2:$AF$6539,2,FALSE),0)</f>
        <v>0</v>
      </c>
      <c r="AC173" s="43">
        <f>IFERROR(VLOOKUP(F173,Sheet2!$AG$2:$AH$6539,2,FALSE),0)</f>
        <v>0</v>
      </c>
      <c r="AE173" s="112">
        <v>0</v>
      </c>
      <c r="AF173" s="9">
        <v>0</v>
      </c>
      <c r="AG173" s="9">
        <v>0</v>
      </c>
      <c r="AH173" s="9">
        <v>0</v>
      </c>
      <c r="AI173" s="9">
        <v>0</v>
      </c>
      <c r="AJ173" s="9">
        <f t="shared" si="6"/>
        <v>0</v>
      </c>
      <c r="AK173" s="45">
        <f t="shared" si="7"/>
        <v>0</v>
      </c>
      <c r="AL173" s="68">
        <v>0</v>
      </c>
      <c r="AM173" s="68">
        <v>0</v>
      </c>
    </row>
    <row r="174" spans="1:39" x14ac:dyDescent="0.2">
      <c r="A174" s="57" t="s">
        <v>2082</v>
      </c>
      <c r="B174" s="47">
        <v>46173</v>
      </c>
      <c r="C174" s="111"/>
      <c r="D174" s="48" t="s">
        <v>1381</v>
      </c>
      <c r="E174" s="49" t="s">
        <v>405</v>
      </c>
      <c r="F174" s="49" t="s">
        <v>406</v>
      </c>
      <c r="G174" s="47" t="e">
        <v>#N/A</v>
      </c>
      <c r="H174" s="47" t="s">
        <v>94</v>
      </c>
      <c r="I174" s="9" t="s">
        <v>407</v>
      </c>
      <c r="J174" s="40" t="s">
        <v>408</v>
      </c>
      <c r="K174" s="9" t="s">
        <v>392</v>
      </c>
      <c r="L174" s="9" t="s">
        <v>188</v>
      </c>
      <c r="M174" s="11"/>
      <c r="N174" s="11"/>
      <c r="O174" s="50">
        <v>8.2080000000000002</v>
      </c>
      <c r="R174" s="9">
        <f>IFERROR(VLOOKUP(E174,Sheet6!$A$2:$B$500,2,FALSE),0)</f>
        <v>0</v>
      </c>
      <c r="S174" s="41">
        <f>IFERROR(VLOOKUP(E174,Sheet6!$C$2:$D$35017,2,FALSE),0)</f>
        <v>0</v>
      </c>
      <c r="U174" s="9">
        <f>IFERROR(VLOOKUP(E174,Sheet2!$AA$1:$AB$975,2,FALSE),0)</f>
        <v>0</v>
      </c>
      <c r="V174" s="41">
        <f>IFERROR(VLOOKUP(E174,Sheet2!$AC$1:$AD$975,2,FALSE),0)</f>
        <v>0</v>
      </c>
      <c r="W174" s="42">
        <f>IFERROR(VLOOKUP(E174,Sheet2!$AE$1:$AF$975,2,FALSE),0)</f>
        <v>0</v>
      </c>
      <c r="X174" s="43">
        <f>IFERROR(VLOOKUP(E174,Sheet2!$AG$1:$AH$975,2,FALSE),0)</f>
        <v>0</v>
      </c>
      <c r="Z174" s="60">
        <f>IFERROR(VLOOKUP(F174,Sheet2!$AA$1:$AB$975,2,FALSE),0)</f>
        <v>0</v>
      </c>
      <c r="AA174" s="64">
        <f>IFERROR(VLOOKUP(F174,Sheet2!$AC$1:$AD$975,2,FALSE),0)</f>
        <v>0</v>
      </c>
      <c r="AB174" s="65">
        <f>IFERROR(VLOOKUP(F174,Sheet2!$AE$2:$AF$6539,2,FALSE),0)</f>
        <v>0</v>
      </c>
      <c r="AC174" s="43">
        <f>IFERROR(VLOOKUP(F174,Sheet2!$AG$2:$AH$6539,2,FALSE),0)</f>
        <v>0</v>
      </c>
      <c r="AE174" s="112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f t="shared" si="6"/>
        <v>0</v>
      </c>
      <c r="AK174" s="45">
        <f t="shared" si="7"/>
        <v>0</v>
      </c>
      <c r="AL174" s="68">
        <v>0</v>
      </c>
      <c r="AM174" s="68">
        <v>0</v>
      </c>
    </row>
    <row r="175" spans="1:39" x14ac:dyDescent="0.2">
      <c r="A175" s="57" t="s">
        <v>2082</v>
      </c>
      <c r="B175" s="47">
        <v>46173</v>
      </c>
      <c r="C175" s="111"/>
      <c r="D175" s="48" t="s">
        <v>1382</v>
      </c>
      <c r="E175" s="49" t="s">
        <v>409</v>
      </c>
      <c r="F175" s="49" t="s">
        <v>410</v>
      </c>
      <c r="G175" s="47"/>
      <c r="H175" s="47"/>
      <c r="I175" s="9" t="s">
        <v>407</v>
      </c>
      <c r="J175" s="40" t="s">
        <v>408</v>
      </c>
      <c r="K175" s="9" t="s">
        <v>395</v>
      </c>
      <c r="L175" s="9" t="s">
        <v>188</v>
      </c>
      <c r="M175" s="11"/>
      <c r="N175" s="11"/>
      <c r="O175" s="50">
        <v>8.2080000000000002</v>
      </c>
      <c r="R175" s="9">
        <f>IFERROR(VLOOKUP(E175,Sheet6!$A$2:$B$500,2,FALSE),0)</f>
        <v>0</v>
      </c>
      <c r="S175" s="41">
        <f>IFERROR(VLOOKUP(E175,Sheet6!$C$2:$D$35017,2,FALSE),0)</f>
        <v>0</v>
      </c>
      <c r="U175" s="9">
        <f>IFERROR(VLOOKUP(E175,Sheet2!$AA$1:$AB$975,2,FALSE),0)</f>
        <v>0</v>
      </c>
      <c r="V175" s="41">
        <f>IFERROR(VLOOKUP(E175,Sheet2!$AC$1:$AD$975,2,FALSE),0)</f>
        <v>0</v>
      </c>
      <c r="W175" s="42">
        <f>IFERROR(VLOOKUP(E175,Sheet2!$AE$1:$AF$975,2,FALSE),0)</f>
        <v>0</v>
      </c>
      <c r="X175" s="43">
        <f>IFERROR(VLOOKUP(E175,Sheet2!$AG$1:$AH$975,2,FALSE),0)</f>
        <v>0</v>
      </c>
      <c r="Z175" s="60">
        <f>IFERROR(VLOOKUP(F175,Sheet2!$AA$1:$AB$975,2,FALSE),0)</f>
        <v>0</v>
      </c>
      <c r="AA175" s="64">
        <f>IFERROR(VLOOKUP(F175,Sheet2!$AC$1:$AD$975,2,FALSE),0)</f>
        <v>0</v>
      </c>
      <c r="AB175" s="65">
        <f>IFERROR(VLOOKUP(F175,Sheet2!$AE$2:$AF$6539,2,FALSE),0)</f>
        <v>0</v>
      </c>
      <c r="AC175" s="43">
        <f>IFERROR(VLOOKUP(F175,Sheet2!$AG$2:$AH$6539,2,FALSE),0)</f>
        <v>0</v>
      </c>
      <c r="AE175" s="112">
        <v>0</v>
      </c>
      <c r="AF175" s="9">
        <v>0</v>
      </c>
      <c r="AG175" s="9">
        <v>0</v>
      </c>
      <c r="AH175" s="9">
        <v>0</v>
      </c>
      <c r="AI175" s="9">
        <v>0</v>
      </c>
      <c r="AJ175" s="9">
        <f t="shared" si="6"/>
        <v>0</v>
      </c>
      <c r="AK175" s="45">
        <f t="shared" si="7"/>
        <v>0</v>
      </c>
      <c r="AL175" s="68">
        <v>0</v>
      </c>
      <c r="AM175" s="68">
        <v>0</v>
      </c>
    </row>
    <row r="176" spans="1:39" x14ac:dyDescent="0.2">
      <c r="A176" s="57" t="s">
        <v>2082</v>
      </c>
      <c r="B176" s="47">
        <v>46173</v>
      </c>
      <c r="C176" s="111"/>
      <c r="D176" s="48" t="s">
        <v>1383</v>
      </c>
      <c r="E176" s="49" t="s">
        <v>411</v>
      </c>
      <c r="F176" s="49" t="s">
        <v>412</v>
      </c>
      <c r="G176" s="47" t="e">
        <v>#N/A</v>
      </c>
      <c r="H176" s="47" t="s">
        <v>22</v>
      </c>
      <c r="I176" s="9" t="s">
        <v>407</v>
      </c>
      <c r="J176" s="40" t="s">
        <v>408</v>
      </c>
      <c r="K176" s="9" t="s">
        <v>394</v>
      </c>
      <c r="L176" s="9" t="s">
        <v>188</v>
      </c>
      <c r="M176" s="11"/>
      <c r="N176" s="11"/>
      <c r="O176" s="50">
        <v>8.2080000000000002</v>
      </c>
      <c r="R176" s="9">
        <f>IFERROR(VLOOKUP(E176,Sheet6!$A$2:$B$500,2,FALSE),0)</f>
        <v>0</v>
      </c>
      <c r="S176" s="41">
        <f>IFERROR(VLOOKUP(E176,Sheet6!$C$2:$D$35017,2,FALSE),0)</f>
        <v>0</v>
      </c>
      <c r="U176" s="9">
        <f>IFERROR(VLOOKUP(E176,Sheet2!$AA$1:$AB$975,2,FALSE),0)</f>
        <v>0</v>
      </c>
      <c r="V176" s="41">
        <f>IFERROR(VLOOKUP(E176,Sheet2!$AC$1:$AD$975,2,FALSE),0)</f>
        <v>0</v>
      </c>
      <c r="W176" s="42">
        <f>IFERROR(VLOOKUP(E176,Sheet2!$AE$1:$AF$975,2,FALSE),0)</f>
        <v>0</v>
      </c>
      <c r="X176" s="43">
        <f>IFERROR(VLOOKUP(E176,Sheet2!$AG$1:$AH$975,2,FALSE),0)</f>
        <v>0</v>
      </c>
      <c r="Z176" s="60">
        <f>IFERROR(VLOOKUP(F176,Sheet2!$AA$1:$AB$975,2,FALSE),0)</f>
        <v>0</v>
      </c>
      <c r="AA176" s="64">
        <f>IFERROR(VLOOKUP(F176,Sheet2!$AC$1:$AD$975,2,FALSE),0)</f>
        <v>0</v>
      </c>
      <c r="AB176" s="65">
        <f>IFERROR(VLOOKUP(F176,Sheet2!$AE$2:$AF$6539,2,FALSE),0)</f>
        <v>0</v>
      </c>
      <c r="AC176" s="43">
        <f>IFERROR(VLOOKUP(F176,Sheet2!$AG$2:$AH$6539,2,FALSE),0)</f>
        <v>0</v>
      </c>
      <c r="AE176" s="112">
        <v>0</v>
      </c>
      <c r="AF176" s="9">
        <v>0</v>
      </c>
      <c r="AG176" s="9">
        <v>0</v>
      </c>
      <c r="AH176" s="9">
        <v>0</v>
      </c>
      <c r="AI176" s="9">
        <v>0</v>
      </c>
      <c r="AJ176" s="9">
        <f t="shared" si="6"/>
        <v>0</v>
      </c>
      <c r="AK176" s="45">
        <f t="shared" si="7"/>
        <v>0</v>
      </c>
      <c r="AL176" s="68">
        <v>0</v>
      </c>
      <c r="AM176" s="68">
        <v>0</v>
      </c>
    </row>
    <row r="177" spans="1:39" x14ac:dyDescent="0.2">
      <c r="A177" s="57" t="s">
        <v>2082</v>
      </c>
      <c r="B177" s="47">
        <v>46173</v>
      </c>
      <c r="C177" s="111"/>
      <c r="D177" s="48" t="s">
        <v>1384</v>
      </c>
      <c r="E177" s="49" t="s">
        <v>415</v>
      </c>
      <c r="F177" s="49" t="s">
        <v>416</v>
      </c>
      <c r="G177" s="47" t="e">
        <v>#N/A</v>
      </c>
      <c r="H177" s="47" t="s">
        <v>22</v>
      </c>
      <c r="I177" s="9" t="s">
        <v>414</v>
      </c>
      <c r="J177" s="40" t="s">
        <v>1845</v>
      </c>
      <c r="K177" s="9" t="s">
        <v>41</v>
      </c>
      <c r="L177" s="9" t="s">
        <v>35</v>
      </c>
      <c r="M177" s="11"/>
      <c r="N177" s="11"/>
      <c r="O177" s="50">
        <v>8.2080000000000002</v>
      </c>
      <c r="R177" s="9">
        <f>IFERROR(VLOOKUP(E177,Sheet6!$A$2:$B$500,2,FALSE),0)</f>
        <v>0</v>
      </c>
      <c r="S177" s="41">
        <f>IFERROR(VLOOKUP(E177,Sheet6!$C$2:$D$35017,2,FALSE),0)</f>
        <v>0</v>
      </c>
      <c r="U177" s="9">
        <f>IFERROR(VLOOKUP(E177,Sheet2!$AA$1:$AB$975,2,FALSE),0)</f>
        <v>0</v>
      </c>
      <c r="V177" s="41">
        <f>IFERROR(VLOOKUP(E177,Sheet2!$AC$1:$AD$975,2,FALSE),0)</f>
        <v>0</v>
      </c>
      <c r="W177" s="42">
        <f>IFERROR(VLOOKUP(E177,Sheet2!$AE$1:$AF$975,2,FALSE),0)</f>
        <v>0</v>
      </c>
      <c r="X177" s="43">
        <f>IFERROR(VLOOKUP(E177,Sheet2!$AG$1:$AH$975,2,FALSE),0)</f>
        <v>0</v>
      </c>
      <c r="Z177" s="60">
        <f>IFERROR(VLOOKUP(F177,Sheet2!$AA$1:$AB$975,2,FALSE),0)</f>
        <v>0</v>
      </c>
      <c r="AA177" s="64">
        <f>IFERROR(VLOOKUP(F177,Sheet2!$AC$1:$AD$975,2,FALSE),0)</f>
        <v>0</v>
      </c>
      <c r="AB177" s="65">
        <f>IFERROR(VLOOKUP(F177,Sheet2!$AE$2:$AF$6539,2,FALSE),0)</f>
        <v>0</v>
      </c>
      <c r="AC177" s="43">
        <f>IFERROR(VLOOKUP(F177,Sheet2!$AG$2:$AH$6539,2,FALSE),0)</f>
        <v>0</v>
      </c>
      <c r="AE177" s="112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f t="shared" si="6"/>
        <v>0</v>
      </c>
      <c r="AK177" s="45">
        <f t="shared" si="7"/>
        <v>0</v>
      </c>
      <c r="AL177" s="68">
        <v>0</v>
      </c>
      <c r="AM177" s="68">
        <v>0</v>
      </c>
    </row>
    <row r="178" spans="1:39" x14ac:dyDescent="0.2">
      <c r="A178" s="57" t="s">
        <v>2082</v>
      </c>
      <c r="B178" s="47">
        <v>46173</v>
      </c>
      <c r="C178" s="108"/>
      <c r="D178" s="48" t="s">
        <v>1385</v>
      </c>
      <c r="E178" s="49" t="s">
        <v>418</v>
      </c>
      <c r="F178" s="49" t="s">
        <v>419</v>
      </c>
      <c r="G178" s="47" t="e">
        <v>#N/A</v>
      </c>
      <c r="H178" s="47" t="s">
        <v>22</v>
      </c>
      <c r="I178" s="9" t="s">
        <v>417</v>
      </c>
      <c r="J178" s="40" t="s">
        <v>1844</v>
      </c>
      <c r="K178" s="9" t="s">
        <v>41</v>
      </c>
      <c r="L178" s="9" t="s">
        <v>35</v>
      </c>
      <c r="M178" s="11"/>
      <c r="N178" s="11"/>
      <c r="O178" s="50">
        <v>8.64</v>
      </c>
      <c r="R178" s="9">
        <f>IFERROR(VLOOKUP(E178,Sheet6!$A$2:$B$500,2,FALSE),0)</f>
        <v>0</v>
      </c>
      <c r="S178" s="41">
        <f>IFERROR(VLOOKUP(E178,Sheet6!$C$2:$D$35017,2,FALSE),0)</f>
        <v>0</v>
      </c>
      <c r="U178" s="9">
        <f>IFERROR(VLOOKUP(E178,Sheet2!$AA$1:$AB$975,2,FALSE),0)</f>
        <v>0</v>
      </c>
      <c r="V178" s="41">
        <f>IFERROR(VLOOKUP(E178,Sheet2!$AC$1:$AD$975,2,FALSE),0)</f>
        <v>0</v>
      </c>
      <c r="W178" s="42">
        <f>IFERROR(VLOOKUP(E178,Sheet2!$AE$1:$AF$975,2,FALSE),0)</f>
        <v>0</v>
      </c>
      <c r="X178" s="43">
        <f>IFERROR(VLOOKUP(E178,Sheet2!$AG$1:$AH$975,2,FALSE),0)</f>
        <v>0</v>
      </c>
      <c r="Z178" s="60">
        <f>IFERROR(VLOOKUP(F178,Sheet2!$AA$1:$AB$975,2,FALSE),0)</f>
        <v>0</v>
      </c>
      <c r="AA178" s="64">
        <f>IFERROR(VLOOKUP(F178,Sheet2!$AC$1:$AD$975,2,FALSE),0)</f>
        <v>0</v>
      </c>
      <c r="AB178" s="65">
        <f>IFERROR(VLOOKUP(F178,Sheet2!$AE$2:$AF$6539,2,FALSE),0)</f>
        <v>0</v>
      </c>
      <c r="AC178" s="43">
        <f>IFERROR(VLOOKUP(F178,Sheet2!$AG$2:$AH$6539,2,FALSE),0)</f>
        <v>0</v>
      </c>
      <c r="AE178" s="112">
        <v>0</v>
      </c>
      <c r="AF178" s="9">
        <v>0</v>
      </c>
      <c r="AG178" s="9">
        <v>0</v>
      </c>
      <c r="AH178" s="9">
        <v>0</v>
      </c>
      <c r="AI178" s="9">
        <v>0</v>
      </c>
      <c r="AJ178" s="9">
        <f t="shared" si="6"/>
        <v>0</v>
      </c>
      <c r="AK178" s="45">
        <f t="shared" si="7"/>
        <v>0</v>
      </c>
      <c r="AL178" s="68">
        <v>0</v>
      </c>
      <c r="AM178" s="68">
        <v>0</v>
      </c>
    </row>
    <row r="179" spans="1:39" x14ac:dyDescent="0.2">
      <c r="A179" s="57" t="s">
        <v>2082</v>
      </c>
      <c r="B179" s="47">
        <v>46173</v>
      </c>
      <c r="C179" s="108"/>
      <c r="D179" s="48" t="s">
        <v>1386</v>
      </c>
      <c r="E179" s="49" t="s">
        <v>420</v>
      </c>
      <c r="F179" s="49" t="s">
        <v>421</v>
      </c>
      <c r="G179" s="47" t="e">
        <v>#N/A</v>
      </c>
      <c r="H179" s="47" t="s">
        <v>22</v>
      </c>
      <c r="I179" s="9" t="s">
        <v>417</v>
      </c>
      <c r="J179" s="40" t="s">
        <v>1844</v>
      </c>
      <c r="K179" s="9" t="s">
        <v>413</v>
      </c>
      <c r="L179" s="9" t="s">
        <v>29</v>
      </c>
      <c r="M179" s="11"/>
      <c r="N179" s="11"/>
      <c r="O179" s="50">
        <v>8.64</v>
      </c>
      <c r="R179" s="9">
        <f>IFERROR(VLOOKUP(E179,Sheet6!$A$2:$B$500,2,FALSE),0)</f>
        <v>0</v>
      </c>
      <c r="S179" s="41">
        <f>IFERROR(VLOOKUP(E179,Sheet6!$C$2:$D$35017,2,FALSE),0)</f>
        <v>0</v>
      </c>
      <c r="U179" s="9">
        <f>IFERROR(VLOOKUP(E179,Sheet2!$AA$1:$AB$975,2,FALSE),0)</f>
        <v>0</v>
      </c>
      <c r="V179" s="41">
        <f>IFERROR(VLOOKUP(E179,Sheet2!$AC$1:$AD$975,2,FALSE),0)</f>
        <v>0</v>
      </c>
      <c r="W179" s="42">
        <f>IFERROR(VLOOKUP(E179,Sheet2!$AE$1:$AF$975,2,FALSE),0)</f>
        <v>0</v>
      </c>
      <c r="X179" s="43">
        <f>IFERROR(VLOOKUP(E179,Sheet2!$AG$1:$AH$975,2,FALSE),0)</f>
        <v>0</v>
      </c>
      <c r="Z179" s="60">
        <f>IFERROR(VLOOKUP(F179,Sheet2!$AA$1:$AB$975,2,FALSE),0)</f>
        <v>0</v>
      </c>
      <c r="AA179" s="64">
        <f>IFERROR(VLOOKUP(F179,Sheet2!$AC$1:$AD$975,2,FALSE),0)</f>
        <v>0</v>
      </c>
      <c r="AB179" s="65">
        <f>IFERROR(VLOOKUP(F179,Sheet2!$AE$2:$AF$6539,2,FALSE),0)</f>
        <v>0</v>
      </c>
      <c r="AC179" s="43">
        <f>IFERROR(VLOOKUP(F179,Sheet2!$AG$2:$AH$6539,2,FALSE),0)</f>
        <v>0</v>
      </c>
      <c r="AE179" s="112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f t="shared" si="6"/>
        <v>0</v>
      </c>
      <c r="AK179" s="45">
        <f t="shared" si="7"/>
        <v>0</v>
      </c>
      <c r="AL179" s="68">
        <v>0</v>
      </c>
      <c r="AM179" s="68">
        <v>0</v>
      </c>
    </row>
    <row r="180" spans="1:39" x14ac:dyDescent="0.2">
      <c r="A180" s="57" t="s">
        <v>2082</v>
      </c>
      <c r="B180" s="47">
        <v>46173</v>
      </c>
      <c r="C180" s="108"/>
      <c r="D180" s="48" t="s">
        <v>1387</v>
      </c>
      <c r="E180" s="49" t="s">
        <v>422</v>
      </c>
      <c r="F180" s="49" t="s">
        <v>423</v>
      </c>
      <c r="G180" s="47" t="e">
        <v>#N/A</v>
      </c>
      <c r="H180" s="47" t="s">
        <v>22</v>
      </c>
      <c r="I180" s="9" t="s">
        <v>417</v>
      </c>
      <c r="J180" s="40" t="s">
        <v>1844</v>
      </c>
      <c r="K180" s="9" t="s">
        <v>413</v>
      </c>
      <c r="L180" s="9" t="s">
        <v>32</v>
      </c>
      <c r="M180" s="11"/>
      <c r="N180" s="11"/>
      <c r="O180" s="50">
        <v>8.64</v>
      </c>
      <c r="R180" s="9">
        <f>IFERROR(VLOOKUP(E180,Sheet6!$A$2:$B$500,2,FALSE),0)</f>
        <v>0</v>
      </c>
      <c r="S180" s="41">
        <f>IFERROR(VLOOKUP(E180,Sheet6!$C$2:$D$35017,2,FALSE),0)</f>
        <v>0</v>
      </c>
      <c r="U180" s="9">
        <f>IFERROR(VLOOKUP(E180,Sheet2!$AA$1:$AB$975,2,FALSE),0)</f>
        <v>0</v>
      </c>
      <c r="V180" s="41">
        <f>IFERROR(VLOOKUP(E180,Sheet2!$AC$1:$AD$975,2,FALSE),0)</f>
        <v>0</v>
      </c>
      <c r="W180" s="42">
        <f>IFERROR(VLOOKUP(E180,Sheet2!$AE$1:$AF$975,2,FALSE),0)</f>
        <v>0</v>
      </c>
      <c r="X180" s="43">
        <f>IFERROR(VLOOKUP(E180,Sheet2!$AG$1:$AH$975,2,FALSE),0)</f>
        <v>0</v>
      </c>
      <c r="Z180" s="60">
        <f>IFERROR(VLOOKUP(F180,Sheet2!$AA$1:$AB$975,2,FALSE),0)</f>
        <v>0</v>
      </c>
      <c r="AA180" s="64">
        <f>IFERROR(VLOOKUP(F180,Sheet2!$AC$1:$AD$975,2,FALSE),0)</f>
        <v>0</v>
      </c>
      <c r="AB180" s="65">
        <f>IFERROR(VLOOKUP(F180,Sheet2!$AE$2:$AF$6539,2,FALSE),0)</f>
        <v>0</v>
      </c>
      <c r="AC180" s="43">
        <f>IFERROR(VLOOKUP(F180,Sheet2!$AG$2:$AH$6539,2,FALSE),0)</f>
        <v>0</v>
      </c>
      <c r="AE180" s="112">
        <v>0</v>
      </c>
      <c r="AF180" s="9">
        <v>0</v>
      </c>
      <c r="AG180" s="9">
        <v>0</v>
      </c>
      <c r="AH180" s="9">
        <v>0</v>
      </c>
      <c r="AI180" s="9">
        <v>0</v>
      </c>
      <c r="AJ180" s="9">
        <f t="shared" si="6"/>
        <v>0</v>
      </c>
      <c r="AK180" s="45">
        <f t="shared" si="7"/>
        <v>0</v>
      </c>
      <c r="AL180" s="68">
        <v>0</v>
      </c>
      <c r="AM180" s="68">
        <v>0</v>
      </c>
    </row>
    <row r="181" spans="1:39" x14ac:dyDescent="0.2">
      <c r="A181" s="57" t="s">
        <v>2082</v>
      </c>
      <c r="B181" s="47">
        <v>46173</v>
      </c>
      <c r="C181" s="111"/>
      <c r="D181" s="48" t="s">
        <v>1388</v>
      </c>
      <c r="E181" s="49" t="s">
        <v>424</v>
      </c>
      <c r="F181" s="49" t="s">
        <v>425</v>
      </c>
      <c r="G181" s="47" t="e">
        <v>#N/A</v>
      </c>
      <c r="H181" s="47" t="s">
        <v>22</v>
      </c>
      <c r="I181" s="9" t="s">
        <v>417</v>
      </c>
      <c r="J181" s="40" t="s">
        <v>1844</v>
      </c>
      <c r="K181" s="9" t="s">
        <v>413</v>
      </c>
      <c r="L181" s="9" t="s">
        <v>35</v>
      </c>
      <c r="M181" s="11"/>
      <c r="N181" s="11"/>
      <c r="O181" s="50">
        <v>8.64</v>
      </c>
      <c r="R181" s="9">
        <f>IFERROR(VLOOKUP(E181,Sheet6!$A$2:$B$500,2,FALSE),0)</f>
        <v>0</v>
      </c>
      <c r="S181" s="41">
        <f>IFERROR(VLOOKUP(E181,Sheet6!$C$2:$D$35017,2,FALSE),0)</f>
        <v>0</v>
      </c>
      <c r="U181" s="9">
        <f>IFERROR(VLOOKUP(E181,Sheet2!$AA$1:$AB$975,2,FALSE),0)</f>
        <v>0</v>
      </c>
      <c r="V181" s="41">
        <f>IFERROR(VLOOKUP(E181,Sheet2!$AC$1:$AD$975,2,FALSE),0)</f>
        <v>0</v>
      </c>
      <c r="W181" s="42">
        <f>IFERROR(VLOOKUP(E181,Sheet2!$AE$1:$AF$975,2,FALSE),0)</f>
        <v>0</v>
      </c>
      <c r="X181" s="43">
        <f>IFERROR(VLOOKUP(E181,Sheet2!$AG$1:$AH$975,2,FALSE),0)</f>
        <v>0</v>
      </c>
      <c r="Z181" s="60">
        <f>IFERROR(VLOOKUP(F181,Sheet2!$AA$1:$AB$975,2,FALSE),0)</f>
        <v>0</v>
      </c>
      <c r="AA181" s="64">
        <f>IFERROR(VLOOKUP(F181,Sheet2!$AC$1:$AD$975,2,FALSE),0)</f>
        <v>0</v>
      </c>
      <c r="AB181" s="65">
        <f>IFERROR(VLOOKUP(F181,Sheet2!$AE$2:$AF$6539,2,FALSE),0)</f>
        <v>0</v>
      </c>
      <c r="AC181" s="43">
        <f>IFERROR(VLOOKUP(F181,Sheet2!$AG$2:$AH$6539,2,FALSE),0)</f>
        <v>0</v>
      </c>
      <c r="AE181" s="112">
        <v>0</v>
      </c>
      <c r="AF181" s="9">
        <v>0</v>
      </c>
      <c r="AG181" s="9">
        <v>0</v>
      </c>
      <c r="AH181" s="9">
        <v>0</v>
      </c>
      <c r="AI181" s="9">
        <v>0</v>
      </c>
      <c r="AJ181" s="9">
        <f t="shared" si="6"/>
        <v>0</v>
      </c>
      <c r="AK181" s="45">
        <f t="shared" si="7"/>
        <v>0</v>
      </c>
      <c r="AL181" s="68">
        <v>0</v>
      </c>
      <c r="AM181" s="68">
        <v>0</v>
      </c>
    </row>
    <row r="182" spans="1:39" x14ac:dyDescent="0.2">
      <c r="A182" s="57" t="s">
        <v>2082</v>
      </c>
      <c r="B182" s="47">
        <v>46173</v>
      </c>
      <c r="C182" s="48"/>
      <c r="D182" s="48" t="s">
        <v>1389</v>
      </c>
      <c r="E182" s="49" t="s">
        <v>426</v>
      </c>
      <c r="F182" s="49" t="s">
        <v>427</v>
      </c>
      <c r="G182" s="47" t="e">
        <v>#N/A</v>
      </c>
      <c r="H182" s="47" t="s">
        <v>22</v>
      </c>
      <c r="I182" s="9" t="s">
        <v>428</v>
      </c>
      <c r="J182" s="40" t="s">
        <v>1838</v>
      </c>
      <c r="K182" s="9" t="s">
        <v>41</v>
      </c>
      <c r="L182" s="9" t="s">
        <v>29</v>
      </c>
      <c r="M182" s="11"/>
      <c r="N182" s="11"/>
      <c r="O182" s="50">
        <v>7.3440000000000003</v>
      </c>
      <c r="R182" s="9">
        <f>IFERROR(VLOOKUP(E182,Sheet6!$A$2:$B$500,2,FALSE),0)</f>
        <v>0</v>
      </c>
      <c r="S182" s="41">
        <f>IFERROR(VLOOKUP(E182,Sheet6!$C$2:$D$35017,2,FALSE),0)</f>
        <v>0</v>
      </c>
      <c r="U182" s="9">
        <f>IFERROR(VLOOKUP(E182,Sheet2!$AA$1:$AB$975,2,FALSE),0)</f>
        <v>7</v>
      </c>
      <c r="V182" s="41">
        <f>IFERROR(VLOOKUP(E182,Sheet2!$AC$1:$AD$975,2,FALSE),0)</f>
        <v>119</v>
      </c>
      <c r="W182" s="42">
        <f>IFERROR(VLOOKUP(E182,Sheet2!$AE$1:$AF$975,2,FALSE),0)</f>
        <v>19</v>
      </c>
      <c r="X182" s="43">
        <f>IFERROR(VLOOKUP(E182,Sheet2!$AG$1:$AH$975,2,FALSE),0)</f>
        <v>0.76190000000000002</v>
      </c>
      <c r="Z182" s="60">
        <f>IFERROR(VLOOKUP(F182,Sheet2!$AA$1:$AB$975,2,FALSE),0)</f>
        <v>0</v>
      </c>
      <c r="AA182" s="64">
        <f>IFERROR(VLOOKUP(F182,Sheet2!$AC$1:$AD$975,2,FALSE),0)</f>
        <v>0</v>
      </c>
      <c r="AB182" s="65">
        <f>IFERROR(VLOOKUP(F182,Sheet2!$AE$2:$AF$6539,2,FALSE),0)</f>
        <v>0</v>
      </c>
      <c r="AC182" s="43">
        <f>IFERROR(VLOOKUP(F182,Sheet2!$AG$2:$AH$6539,2,FALSE),0)</f>
        <v>0</v>
      </c>
      <c r="AE182" s="112">
        <v>9</v>
      </c>
      <c r="AF182" s="9">
        <v>0</v>
      </c>
      <c r="AG182" s="9">
        <v>0</v>
      </c>
      <c r="AH182" s="9">
        <v>0</v>
      </c>
      <c r="AI182" s="9">
        <v>0</v>
      </c>
      <c r="AJ182" s="9">
        <f t="shared" si="6"/>
        <v>9</v>
      </c>
      <c r="AK182" s="45">
        <f t="shared" si="7"/>
        <v>66.096000000000004</v>
      </c>
      <c r="AL182" s="68">
        <v>0</v>
      </c>
      <c r="AM182" s="68">
        <v>30</v>
      </c>
    </row>
    <row r="183" spans="1:39" x14ac:dyDescent="0.2">
      <c r="A183" s="57" t="s">
        <v>2082</v>
      </c>
      <c r="B183" s="47">
        <v>46173</v>
      </c>
      <c r="C183" s="48"/>
      <c r="D183" s="48" t="s">
        <v>1390</v>
      </c>
      <c r="E183" s="49" t="s">
        <v>429</v>
      </c>
      <c r="F183" s="49" t="s">
        <v>430</v>
      </c>
      <c r="G183" s="47" t="e">
        <v>#N/A</v>
      </c>
      <c r="H183" s="47" t="s">
        <v>22</v>
      </c>
      <c r="I183" s="9" t="s">
        <v>428</v>
      </c>
      <c r="J183" s="40" t="s">
        <v>1838</v>
      </c>
      <c r="K183" s="9" t="s">
        <v>41</v>
      </c>
      <c r="L183" s="9" t="s">
        <v>32</v>
      </c>
      <c r="M183" s="11"/>
      <c r="N183" s="11"/>
      <c r="O183" s="50">
        <v>7.3440000000000003</v>
      </c>
      <c r="R183" s="9">
        <f>IFERROR(VLOOKUP(E183,Sheet6!$A$2:$B$500,2,FALSE),0)</f>
        <v>0</v>
      </c>
      <c r="S183" s="41">
        <f>IFERROR(VLOOKUP(E183,Sheet6!$C$2:$D$35017,2,FALSE),0)</f>
        <v>0</v>
      </c>
      <c r="U183" s="9">
        <f>IFERROR(VLOOKUP(E183,Sheet2!$AA$1:$AB$975,2,FALSE),0)</f>
        <v>0</v>
      </c>
      <c r="V183" s="41">
        <f>IFERROR(VLOOKUP(E183,Sheet2!$AC$1:$AD$975,2,FALSE),0)</f>
        <v>0</v>
      </c>
      <c r="W183" s="42">
        <f>IFERROR(VLOOKUP(E183,Sheet2!$AE$1:$AF$975,2,FALSE),0)</f>
        <v>0</v>
      </c>
      <c r="X183" s="43">
        <f>IFERROR(VLOOKUP(E183,Sheet2!$AG$1:$AH$975,2,FALSE),0)</f>
        <v>0</v>
      </c>
      <c r="Z183" s="60">
        <f>IFERROR(VLOOKUP(F183,Sheet2!$AA$1:$AB$975,2,FALSE),0)</f>
        <v>0</v>
      </c>
      <c r="AA183" s="64">
        <f>IFERROR(VLOOKUP(F183,Sheet2!$AC$1:$AD$975,2,FALSE),0)</f>
        <v>0</v>
      </c>
      <c r="AB183" s="65">
        <f>IFERROR(VLOOKUP(F183,Sheet2!$AE$2:$AF$6539,2,FALSE),0)</f>
        <v>0</v>
      </c>
      <c r="AC183" s="43">
        <f>IFERROR(VLOOKUP(F183,Sheet2!$AG$2:$AH$6539,2,FALSE),0)</f>
        <v>0</v>
      </c>
      <c r="AE183" s="112">
        <v>18</v>
      </c>
      <c r="AF183" s="9">
        <v>0</v>
      </c>
      <c r="AG183" s="9">
        <v>0</v>
      </c>
      <c r="AH183" s="9">
        <v>0</v>
      </c>
      <c r="AI183" s="9">
        <v>0</v>
      </c>
      <c r="AJ183" s="9">
        <f t="shared" si="6"/>
        <v>18</v>
      </c>
      <c r="AK183" s="45">
        <f t="shared" si="7"/>
        <v>132.19200000000001</v>
      </c>
      <c r="AL183" s="68">
        <v>0</v>
      </c>
      <c r="AM183" s="68">
        <v>0</v>
      </c>
    </row>
    <row r="184" spans="1:39" x14ac:dyDescent="0.2">
      <c r="A184" s="57" t="s">
        <v>2082</v>
      </c>
      <c r="B184" s="47">
        <v>46173</v>
      </c>
      <c r="C184" s="48"/>
      <c r="D184" s="48" t="s">
        <v>1391</v>
      </c>
      <c r="E184" s="49" t="s">
        <v>1006</v>
      </c>
      <c r="F184" s="49" t="s">
        <v>1066</v>
      </c>
      <c r="G184" s="47" t="e">
        <v>#N/A</v>
      </c>
      <c r="H184" s="47" t="s">
        <v>22</v>
      </c>
      <c r="I184" s="9" t="s">
        <v>1093</v>
      </c>
      <c r="J184" s="40" t="s">
        <v>1758</v>
      </c>
      <c r="K184" s="9" t="s">
        <v>195</v>
      </c>
      <c r="L184" s="9" t="s">
        <v>188</v>
      </c>
      <c r="M184" s="11"/>
      <c r="N184" s="11"/>
      <c r="O184" s="50">
        <v>8.64</v>
      </c>
      <c r="R184" s="9">
        <f>IFERROR(VLOOKUP(E184,Sheet6!$A$2:$B$500,2,FALSE),0)</f>
        <v>0</v>
      </c>
      <c r="S184" s="41">
        <f>IFERROR(VLOOKUP(E184,Sheet6!$C$2:$D$35017,2,FALSE),0)</f>
        <v>0</v>
      </c>
      <c r="U184" s="9">
        <f>IFERROR(VLOOKUP(E184,Sheet2!$AA$1:$AB$975,2,FALSE),0)</f>
        <v>0</v>
      </c>
      <c r="V184" s="41">
        <f>IFERROR(VLOOKUP(E184,Sheet2!$AC$1:$AD$975,2,FALSE),0)</f>
        <v>0</v>
      </c>
      <c r="W184" s="42">
        <f>IFERROR(VLOOKUP(E184,Sheet2!$AE$1:$AF$975,2,FALSE),0)</f>
        <v>0</v>
      </c>
      <c r="X184" s="43">
        <f>IFERROR(VLOOKUP(E184,Sheet2!$AG$1:$AH$975,2,FALSE),0)</f>
        <v>0</v>
      </c>
      <c r="Z184" s="60">
        <f>IFERROR(VLOOKUP(F184,Sheet2!$AA$1:$AB$975,2,FALSE),0)</f>
        <v>1</v>
      </c>
      <c r="AA184" s="64">
        <f>IFERROR(VLOOKUP(F184,Sheet2!$AC$1:$AD$975,2,FALSE),0)</f>
        <v>20</v>
      </c>
      <c r="AB184" s="65">
        <f>IFERROR(VLOOKUP(F184,Sheet2!$AE$2:$AF$6539,2,FALSE),0)</f>
        <v>21</v>
      </c>
      <c r="AC184" s="43">
        <f>IFERROR(VLOOKUP(F184,Sheet2!$AG$2:$AH$6539,2,FALSE),0)</f>
        <v>1</v>
      </c>
      <c r="AE184" s="112">
        <v>9</v>
      </c>
      <c r="AF184" s="9">
        <v>11</v>
      </c>
      <c r="AG184" s="9">
        <v>0</v>
      </c>
      <c r="AH184" s="9">
        <v>0</v>
      </c>
      <c r="AI184" s="9">
        <v>11</v>
      </c>
      <c r="AJ184" s="9">
        <f t="shared" si="6"/>
        <v>20</v>
      </c>
      <c r="AK184" s="45">
        <f t="shared" si="7"/>
        <v>172.8</v>
      </c>
      <c r="AL184" s="68">
        <v>0</v>
      </c>
      <c r="AM184" s="68">
        <v>0</v>
      </c>
    </row>
    <row r="185" spans="1:39" x14ac:dyDescent="0.2">
      <c r="A185" s="57" t="s">
        <v>2082</v>
      </c>
      <c r="B185" s="47">
        <v>46173</v>
      </c>
      <c r="C185" s="48"/>
      <c r="D185" s="48" t="s">
        <v>1392</v>
      </c>
      <c r="E185" s="49" t="s">
        <v>1007</v>
      </c>
      <c r="F185" s="49" t="s">
        <v>1067</v>
      </c>
      <c r="G185" s="47" t="e">
        <v>#N/A</v>
      </c>
      <c r="H185" s="47" t="s">
        <v>22</v>
      </c>
      <c r="I185" s="9" t="s">
        <v>1093</v>
      </c>
      <c r="J185" s="40" t="s">
        <v>1758</v>
      </c>
      <c r="K185" s="9" t="s">
        <v>195</v>
      </c>
      <c r="L185" s="9" t="s">
        <v>29</v>
      </c>
      <c r="M185" s="11"/>
      <c r="N185" s="11"/>
      <c r="O185" s="50">
        <v>8.64</v>
      </c>
      <c r="R185" s="9">
        <f>IFERROR(VLOOKUP(E185,Sheet6!$A$2:$B$500,2,FALSE),0)</f>
        <v>0</v>
      </c>
      <c r="S185" s="41">
        <f>IFERROR(VLOOKUP(E185,Sheet6!$C$2:$D$35017,2,FALSE),0)</f>
        <v>0</v>
      </c>
      <c r="U185" s="9">
        <f>IFERROR(VLOOKUP(E185,Sheet2!$AA$1:$AB$975,2,FALSE),0)</f>
        <v>0</v>
      </c>
      <c r="V185" s="41">
        <f>IFERROR(VLOOKUP(E185,Sheet2!$AC$1:$AD$975,2,FALSE),0)</f>
        <v>0</v>
      </c>
      <c r="W185" s="42">
        <f>IFERROR(VLOOKUP(E185,Sheet2!$AE$1:$AF$975,2,FALSE),0)</f>
        <v>0</v>
      </c>
      <c r="X185" s="43">
        <f>IFERROR(VLOOKUP(E185,Sheet2!$AG$1:$AH$975,2,FALSE),0)</f>
        <v>0</v>
      </c>
      <c r="Z185" s="60">
        <f>IFERROR(VLOOKUP(F185,Sheet2!$AA$1:$AB$975,2,FALSE),0)</f>
        <v>0</v>
      </c>
      <c r="AA185" s="64">
        <f>IFERROR(VLOOKUP(F185,Sheet2!$AC$1:$AD$975,2,FALSE),0)</f>
        <v>0</v>
      </c>
      <c r="AB185" s="65">
        <f>IFERROR(VLOOKUP(F185,Sheet2!$AE$2:$AF$6539,2,FALSE),0)</f>
        <v>0</v>
      </c>
      <c r="AC185" s="43">
        <f>IFERROR(VLOOKUP(F185,Sheet2!$AG$2:$AH$6539,2,FALSE),0)</f>
        <v>0</v>
      </c>
      <c r="AE185" s="112">
        <v>30</v>
      </c>
      <c r="AF185" s="9">
        <v>3</v>
      </c>
      <c r="AG185" s="9">
        <v>0</v>
      </c>
      <c r="AH185" s="9">
        <v>0</v>
      </c>
      <c r="AI185" s="9">
        <v>3</v>
      </c>
      <c r="AJ185" s="9">
        <f t="shared" si="6"/>
        <v>33</v>
      </c>
      <c r="AK185" s="45">
        <f t="shared" si="7"/>
        <v>285.12</v>
      </c>
      <c r="AL185" s="68">
        <v>0</v>
      </c>
      <c r="AM185" s="68">
        <v>0</v>
      </c>
    </row>
    <row r="186" spans="1:39" x14ac:dyDescent="0.2">
      <c r="A186" s="57" t="s">
        <v>2082</v>
      </c>
      <c r="B186" s="47">
        <v>46173</v>
      </c>
      <c r="C186" s="48"/>
      <c r="D186" s="48" t="s">
        <v>1393</v>
      </c>
      <c r="E186" s="49" t="s">
        <v>1008</v>
      </c>
      <c r="F186" s="49" t="s">
        <v>1068</v>
      </c>
      <c r="G186" s="47" t="e">
        <v>#N/A</v>
      </c>
      <c r="H186" s="47" t="s">
        <v>22</v>
      </c>
      <c r="I186" s="9" t="s">
        <v>1093</v>
      </c>
      <c r="J186" s="40" t="s">
        <v>1758</v>
      </c>
      <c r="K186" s="9" t="s">
        <v>195</v>
      </c>
      <c r="L186" s="9" t="s">
        <v>32</v>
      </c>
      <c r="M186" s="11"/>
      <c r="N186" s="11"/>
      <c r="O186" s="50">
        <v>8.64</v>
      </c>
      <c r="R186" s="9">
        <f>IFERROR(VLOOKUP(E186,Sheet6!$A$2:$B$500,2,FALSE),0)</f>
        <v>0</v>
      </c>
      <c r="S186" s="41">
        <f>IFERROR(VLOOKUP(E186,Sheet6!$C$2:$D$35017,2,FALSE),0)</f>
        <v>0</v>
      </c>
      <c r="U186" s="9">
        <f>IFERROR(VLOOKUP(E186,Sheet2!$AA$1:$AB$975,2,FALSE),0)</f>
        <v>0</v>
      </c>
      <c r="V186" s="41">
        <f>IFERROR(VLOOKUP(E186,Sheet2!$AC$1:$AD$975,2,FALSE),0)</f>
        <v>0</v>
      </c>
      <c r="W186" s="42">
        <f>IFERROR(VLOOKUP(E186,Sheet2!$AE$1:$AF$975,2,FALSE),0)</f>
        <v>0</v>
      </c>
      <c r="X186" s="43">
        <f>IFERROR(VLOOKUP(E186,Sheet2!$AG$1:$AH$975,2,FALSE),0)</f>
        <v>0</v>
      </c>
      <c r="Z186" s="60">
        <f>IFERROR(VLOOKUP(F186,Sheet2!$AA$1:$AB$975,2,FALSE),0)</f>
        <v>2</v>
      </c>
      <c r="AA186" s="64">
        <f>IFERROR(VLOOKUP(F186,Sheet2!$AC$1:$AD$975,2,FALSE),0)</f>
        <v>40</v>
      </c>
      <c r="AB186" s="65">
        <f>IFERROR(VLOOKUP(F186,Sheet2!$AE$2:$AF$6539,2,FALSE),0)</f>
        <v>28</v>
      </c>
      <c r="AC186" s="43">
        <f>IFERROR(VLOOKUP(F186,Sheet2!$AG$2:$AH$6539,2,FALSE),0)</f>
        <v>1</v>
      </c>
      <c r="AE186" s="112">
        <v>9</v>
      </c>
      <c r="AF186" s="9">
        <v>26</v>
      </c>
      <c r="AG186" s="9">
        <v>0</v>
      </c>
      <c r="AH186" s="9">
        <v>1</v>
      </c>
      <c r="AI186" s="9">
        <v>27</v>
      </c>
      <c r="AJ186" s="9">
        <f t="shared" si="6"/>
        <v>36</v>
      </c>
      <c r="AK186" s="45">
        <f t="shared" si="7"/>
        <v>311.04000000000002</v>
      </c>
      <c r="AL186" s="68">
        <v>0</v>
      </c>
      <c r="AM186" s="68">
        <v>0</v>
      </c>
    </row>
    <row r="187" spans="1:39" x14ac:dyDescent="0.2">
      <c r="A187" s="57" t="s">
        <v>2082</v>
      </c>
      <c r="B187" s="47">
        <v>46173</v>
      </c>
      <c r="C187" s="48"/>
      <c r="D187" s="48" t="s">
        <v>1394</v>
      </c>
      <c r="E187" s="49" t="s">
        <v>1009</v>
      </c>
      <c r="F187" s="49" t="s">
        <v>1069</v>
      </c>
      <c r="G187" s="47" t="e">
        <v>#N/A</v>
      </c>
      <c r="H187" s="47" t="s">
        <v>22</v>
      </c>
      <c r="I187" s="9" t="s">
        <v>1093</v>
      </c>
      <c r="J187" s="40" t="s">
        <v>1758</v>
      </c>
      <c r="K187" s="9" t="s">
        <v>195</v>
      </c>
      <c r="L187" s="9" t="s">
        <v>35</v>
      </c>
      <c r="M187" s="11"/>
      <c r="N187" s="11"/>
      <c r="O187" s="50">
        <v>8.64</v>
      </c>
      <c r="R187" s="9">
        <f>IFERROR(VLOOKUP(E187,Sheet6!$A$2:$B$500,2,FALSE),0)</f>
        <v>0</v>
      </c>
      <c r="S187" s="41">
        <f>IFERROR(VLOOKUP(E187,Sheet6!$C$2:$D$35017,2,FALSE),0)</f>
        <v>0</v>
      </c>
      <c r="U187" s="9">
        <f>IFERROR(VLOOKUP(E187,Sheet2!$AA$1:$AB$975,2,FALSE),0)</f>
        <v>0</v>
      </c>
      <c r="V187" s="41">
        <f>IFERROR(VLOOKUP(E187,Sheet2!$AC$1:$AD$975,2,FALSE),0)</f>
        <v>0</v>
      </c>
      <c r="W187" s="42">
        <f>IFERROR(VLOOKUP(E187,Sheet2!$AE$1:$AF$975,2,FALSE),0)</f>
        <v>0</v>
      </c>
      <c r="X187" s="43">
        <f>IFERROR(VLOOKUP(E187,Sheet2!$AG$1:$AH$975,2,FALSE),0)</f>
        <v>0</v>
      </c>
      <c r="Z187" s="60">
        <f>IFERROR(VLOOKUP(F187,Sheet2!$AA$1:$AB$975,2,FALSE),0)</f>
        <v>1</v>
      </c>
      <c r="AA187" s="64">
        <f>IFERROR(VLOOKUP(F187,Sheet2!$AC$1:$AD$975,2,FALSE),0)</f>
        <v>20</v>
      </c>
      <c r="AB187" s="65">
        <f>IFERROR(VLOOKUP(F187,Sheet2!$AE$2:$AF$6539,2,FALSE),0)</f>
        <v>23</v>
      </c>
      <c r="AC187" s="43">
        <f>IFERROR(VLOOKUP(F187,Sheet2!$AG$2:$AH$6539,2,FALSE),0)</f>
        <v>1</v>
      </c>
      <c r="AE187" s="112">
        <v>30</v>
      </c>
      <c r="AF187" s="9">
        <v>11</v>
      </c>
      <c r="AG187" s="9">
        <v>0</v>
      </c>
      <c r="AH187" s="9">
        <v>1</v>
      </c>
      <c r="AI187" s="9">
        <v>12</v>
      </c>
      <c r="AJ187" s="9">
        <f t="shared" si="6"/>
        <v>42</v>
      </c>
      <c r="AK187" s="45">
        <f t="shared" si="7"/>
        <v>362.88</v>
      </c>
      <c r="AL187" s="68">
        <v>0</v>
      </c>
      <c r="AM187" s="68">
        <v>0</v>
      </c>
    </row>
    <row r="188" spans="1:39" x14ac:dyDescent="0.2">
      <c r="A188" s="57" t="s">
        <v>2082</v>
      </c>
      <c r="B188" s="47">
        <v>46173</v>
      </c>
      <c r="C188" s="108"/>
      <c r="D188" s="48" t="s">
        <v>1395</v>
      </c>
      <c r="E188" s="49" t="s">
        <v>1859</v>
      </c>
      <c r="F188" s="49" t="s">
        <v>1858</v>
      </c>
      <c r="G188" s="47" t="e">
        <v>#N/A</v>
      </c>
      <c r="H188" s="47" t="s">
        <v>22</v>
      </c>
      <c r="I188" s="9" t="s">
        <v>1094</v>
      </c>
      <c r="J188" s="40" t="s">
        <v>1754</v>
      </c>
      <c r="K188" s="9" t="s">
        <v>1028</v>
      </c>
      <c r="L188" s="9" t="s">
        <v>188</v>
      </c>
      <c r="M188" s="11"/>
      <c r="N188" s="11"/>
      <c r="O188" s="50">
        <v>9.5040000000000013</v>
      </c>
      <c r="R188" s="9">
        <f>IFERROR(VLOOKUP(E188,Sheet6!$A$2:$B$500,2,FALSE),0)</f>
        <v>0</v>
      </c>
      <c r="S188" s="41">
        <f>IFERROR(VLOOKUP(E188,Sheet6!$C$2:$D$35017,2,FALSE),0)</f>
        <v>0</v>
      </c>
      <c r="U188" s="9">
        <f>IFERROR(VLOOKUP(E188,Sheet2!$AA$1:$AB$975,2,FALSE),0)</f>
        <v>0</v>
      </c>
      <c r="V188" s="41">
        <f>IFERROR(VLOOKUP(E188,Sheet2!$AC$1:$AD$975,2,FALSE),0)</f>
        <v>0</v>
      </c>
      <c r="W188" s="42">
        <f>IFERROR(VLOOKUP(E188,Sheet2!$AE$1:$AF$975,2,FALSE),0)</f>
        <v>0</v>
      </c>
      <c r="X188" s="43">
        <f>IFERROR(VLOOKUP(E188,Sheet2!$AG$1:$AH$975,2,FALSE),0)</f>
        <v>0</v>
      </c>
      <c r="Z188" s="60">
        <f>IFERROR(VLOOKUP(F188,Sheet2!$AA$1:$AB$975,2,FALSE),0)</f>
        <v>0</v>
      </c>
      <c r="AA188" s="64">
        <f>IFERROR(VLOOKUP(F188,Sheet2!$AC$1:$AD$975,2,FALSE),0)</f>
        <v>0</v>
      </c>
      <c r="AB188" s="65">
        <f>IFERROR(VLOOKUP(F188,Sheet2!$AE$2:$AF$6539,2,FALSE),0)</f>
        <v>0</v>
      </c>
      <c r="AC188" s="43">
        <f>IFERROR(VLOOKUP(F188,Sheet2!$AG$2:$AH$6539,2,FALSE),0)</f>
        <v>0</v>
      </c>
      <c r="AE188" s="112">
        <v>3</v>
      </c>
      <c r="AF188" s="9">
        <v>4</v>
      </c>
      <c r="AG188" s="9">
        <v>0</v>
      </c>
      <c r="AH188" s="9">
        <v>0</v>
      </c>
      <c r="AI188" s="9">
        <v>4</v>
      </c>
      <c r="AJ188" s="9">
        <f t="shared" si="6"/>
        <v>7</v>
      </c>
      <c r="AK188" s="45">
        <f t="shared" si="7"/>
        <v>66.528000000000006</v>
      </c>
      <c r="AL188" s="68">
        <v>0</v>
      </c>
      <c r="AM188" s="68">
        <v>0</v>
      </c>
    </row>
    <row r="189" spans="1:39" x14ac:dyDescent="0.2">
      <c r="A189" s="57" t="s">
        <v>2082</v>
      </c>
      <c r="B189" s="47">
        <v>46173</v>
      </c>
      <c r="C189" s="48"/>
      <c r="D189" s="48" t="s">
        <v>1396</v>
      </c>
      <c r="E189" s="49" t="s">
        <v>978</v>
      </c>
      <c r="F189" s="49" t="s">
        <v>1038</v>
      </c>
      <c r="G189" s="47" t="e">
        <v>#N/A</v>
      </c>
      <c r="H189" s="47" t="s">
        <v>22</v>
      </c>
      <c r="I189" s="9" t="s">
        <v>1094</v>
      </c>
      <c r="J189" s="40" t="s">
        <v>1754</v>
      </c>
      <c r="K189" s="9" t="s">
        <v>1028</v>
      </c>
      <c r="L189" s="9" t="s">
        <v>29</v>
      </c>
      <c r="M189" s="11"/>
      <c r="N189" s="11"/>
      <c r="O189" s="50">
        <v>9.5040000000000013</v>
      </c>
      <c r="R189" s="9">
        <f>IFERROR(VLOOKUP(E189,Sheet6!$A$2:$B$500,2,FALSE),0)</f>
        <v>0</v>
      </c>
      <c r="S189" s="41">
        <f>IFERROR(VLOOKUP(E189,Sheet6!$C$2:$D$35017,2,FALSE),0)</f>
        <v>0</v>
      </c>
      <c r="U189" s="9">
        <f>IFERROR(VLOOKUP(E189,Sheet2!$AA$1:$AB$975,2,FALSE),0)</f>
        <v>0</v>
      </c>
      <c r="V189" s="41">
        <f>IFERROR(VLOOKUP(E189,Sheet2!$AC$1:$AD$975,2,FALSE),0)</f>
        <v>0</v>
      </c>
      <c r="W189" s="42">
        <f>IFERROR(VLOOKUP(E189,Sheet2!$AE$1:$AF$975,2,FALSE),0)</f>
        <v>0</v>
      </c>
      <c r="X189" s="43">
        <f>IFERROR(VLOOKUP(E189,Sheet2!$AG$1:$AH$975,2,FALSE),0)</f>
        <v>0</v>
      </c>
      <c r="Z189" s="60">
        <f>IFERROR(VLOOKUP(F189,Sheet2!$AA$1:$AB$975,2,FALSE),0)</f>
        <v>0</v>
      </c>
      <c r="AA189" s="64">
        <f>IFERROR(VLOOKUP(F189,Sheet2!$AC$1:$AD$975,2,FALSE),0)</f>
        <v>0</v>
      </c>
      <c r="AB189" s="65">
        <f>IFERROR(VLOOKUP(F189,Sheet2!$AE$2:$AF$6539,2,FALSE),0)</f>
        <v>0</v>
      </c>
      <c r="AC189" s="43">
        <f>IFERROR(VLOOKUP(F189,Sheet2!$AG$2:$AH$6539,2,FALSE),0)</f>
        <v>0</v>
      </c>
      <c r="AE189" s="112">
        <v>12</v>
      </c>
      <c r="AF189" s="9">
        <v>16</v>
      </c>
      <c r="AG189" s="9">
        <v>0</v>
      </c>
      <c r="AH189" s="9">
        <v>0</v>
      </c>
      <c r="AI189" s="9">
        <v>16</v>
      </c>
      <c r="AJ189" s="9">
        <f t="shared" si="6"/>
        <v>28</v>
      </c>
      <c r="AK189" s="45">
        <f t="shared" si="7"/>
        <v>266.11200000000002</v>
      </c>
      <c r="AL189" s="68">
        <v>0</v>
      </c>
      <c r="AM189" s="68">
        <v>12</v>
      </c>
    </row>
    <row r="190" spans="1:39" x14ac:dyDescent="0.2">
      <c r="A190" s="57" t="s">
        <v>2082</v>
      </c>
      <c r="B190" s="47">
        <v>46173</v>
      </c>
      <c r="C190" s="48"/>
      <c r="D190" s="48" t="s">
        <v>1397</v>
      </c>
      <c r="E190" s="49" t="s">
        <v>979</v>
      </c>
      <c r="F190" s="49" t="s">
        <v>1039</v>
      </c>
      <c r="G190" s="47" t="e">
        <v>#N/A</v>
      </c>
      <c r="H190" s="47" t="s">
        <v>22</v>
      </c>
      <c r="I190" s="9" t="s">
        <v>1094</v>
      </c>
      <c r="J190" s="40" t="s">
        <v>1754</v>
      </c>
      <c r="K190" s="9" t="s">
        <v>1028</v>
      </c>
      <c r="L190" s="9" t="s">
        <v>32</v>
      </c>
      <c r="M190" s="11"/>
      <c r="N190" s="11"/>
      <c r="O190" s="50">
        <v>9.5040000000000013</v>
      </c>
      <c r="R190" s="9">
        <f>IFERROR(VLOOKUP(E190,Sheet6!$A$2:$B$500,2,FALSE),0)</f>
        <v>0</v>
      </c>
      <c r="S190" s="41">
        <f>IFERROR(VLOOKUP(E190,Sheet6!$C$2:$D$35017,2,FALSE),0)</f>
        <v>0</v>
      </c>
      <c r="U190" s="9">
        <f>IFERROR(VLOOKUP(E190,Sheet2!$AA$1:$AB$975,2,FALSE),0)</f>
        <v>0</v>
      </c>
      <c r="V190" s="41">
        <f>IFERROR(VLOOKUP(E190,Sheet2!$AC$1:$AD$975,2,FALSE),0)</f>
        <v>0</v>
      </c>
      <c r="W190" s="42">
        <f>IFERROR(VLOOKUP(E190,Sheet2!$AE$1:$AF$975,2,FALSE),0)</f>
        <v>0</v>
      </c>
      <c r="X190" s="43">
        <f>IFERROR(VLOOKUP(E190,Sheet2!$AG$1:$AH$975,2,FALSE),0)</f>
        <v>0</v>
      </c>
      <c r="Z190" s="60">
        <f>IFERROR(VLOOKUP(F190,Sheet2!$AA$1:$AB$975,2,FALSE),0)</f>
        <v>1</v>
      </c>
      <c r="AA190" s="64">
        <f>IFERROR(VLOOKUP(F190,Sheet2!$AC$1:$AD$975,2,FALSE),0)</f>
        <v>22</v>
      </c>
      <c r="AB190" s="65">
        <f>IFERROR(VLOOKUP(F190,Sheet2!$AE$2:$AF$6539,2,FALSE),0)</f>
        <v>4</v>
      </c>
      <c r="AC190" s="43">
        <f>IFERROR(VLOOKUP(F190,Sheet2!$AG$2:$AH$6539,2,FALSE),0)</f>
        <v>1</v>
      </c>
      <c r="AE190" s="112">
        <v>0</v>
      </c>
      <c r="AF190" s="9">
        <v>25</v>
      </c>
      <c r="AG190" s="9">
        <v>0</v>
      </c>
      <c r="AH190" s="9">
        <v>0</v>
      </c>
      <c r="AI190" s="9">
        <v>25</v>
      </c>
      <c r="AJ190" s="9">
        <f t="shared" si="6"/>
        <v>25</v>
      </c>
      <c r="AK190" s="45">
        <f t="shared" si="7"/>
        <v>237.60000000000002</v>
      </c>
      <c r="AL190" s="68">
        <v>0</v>
      </c>
      <c r="AM190" s="68">
        <v>0</v>
      </c>
    </row>
    <row r="191" spans="1:39" x14ac:dyDescent="0.2">
      <c r="A191" s="57" t="s">
        <v>2082</v>
      </c>
      <c r="B191" s="47">
        <v>46173</v>
      </c>
      <c r="C191" s="48"/>
      <c r="D191" s="48" t="s">
        <v>1398</v>
      </c>
      <c r="E191" s="49" t="s">
        <v>975</v>
      </c>
      <c r="F191" s="49" t="s">
        <v>1035</v>
      </c>
      <c r="G191" s="47" t="e">
        <v>#N/A</v>
      </c>
      <c r="H191" s="47" t="s">
        <v>22</v>
      </c>
      <c r="I191" s="9" t="s">
        <v>1094</v>
      </c>
      <c r="J191" s="40" t="s">
        <v>1754</v>
      </c>
      <c r="K191" s="9" t="s">
        <v>195</v>
      </c>
      <c r="L191" s="9" t="s">
        <v>29</v>
      </c>
      <c r="M191" s="11"/>
      <c r="N191" s="11"/>
      <c r="O191" s="50">
        <v>9.5040000000000013</v>
      </c>
      <c r="R191" s="9">
        <f>IFERROR(VLOOKUP(E191,Sheet6!$A$2:$B$500,2,FALSE),0)</f>
        <v>0</v>
      </c>
      <c r="S191" s="41">
        <f>IFERROR(VLOOKUP(E191,Sheet6!$C$2:$D$35017,2,FALSE),0)</f>
        <v>0</v>
      </c>
      <c r="U191" s="9">
        <f>IFERROR(VLOOKUP(E191,Sheet2!$AA$1:$AB$975,2,FALSE),0)</f>
        <v>0</v>
      </c>
      <c r="V191" s="41">
        <f>IFERROR(VLOOKUP(E191,Sheet2!$AC$1:$AD$975,2,FALSE),0)</f>
        <v>0</v>
      </c>
      <c r="W191" s="42">
        <f>IFERROR(VLOOKUP(E191,Sheet2!$AE$1:$AF$975,2,FALSE),0)</f>
        <v>0</v>
      </c>
      <c r="X191" s="43">
        <f>IFERROR(VLOOKUP(E191,Sheet2!$AG$1:$AH$975,2,FALSE),0)</f>
        <v>0</v>
      </c>
      <c r="Z191" s="60">
        <f>IFERROR(VLOOKUP(F191,Sheet2!$AA$1:$AB$975,2,FALSE),0)</f>
        <v>0</v>
      </c>
      <c r="AA191" s="64">
        <f>IFERROR(VLOOKUP(F191,Sheet2!$AC$1:$AD$975,2,FALSE),0)</f>
        <v>0</v>
      </c>
      <c r="AB191" s="65">
        <f>IFERROR(VLOOKUP(F191,Sheet2!$AE$2:$AF$6539,2,FALSE),0)</f>
        <v>0</v>
      </c>
      <c r="AC191" s="43">
        <f>IFERROR(VLOOKUP(F191,Sheet2!$AG$2:$AH$6539,2,FALSE),0)</f>
        <v>0</v>
      </c>
      <c r="AE191" s="112">
        <v>10</v>
      </c>
      <c r="AF191" s="9">
        <v>6</v>
      </c>
      <c r="AG191" s="9">
        <v>0</v>
      </c>
      <c r="AH191" s="9">
        <v>0</v>
      </c>
      <c r="AI191" s="9">
        <v>6</v>
      </c>
      <c r="AJ191" s="9">
        <f t="shared" si="6"/>
        <v>16</v>
      </c>
      <c r="AK191" s="45">
        <f t="shared" si="7"/>
        <v>152.06400000000002</v>
      </c>
      <c r="AL191" s="68">
        <v>0</v>
      </c>
      <c r="AM191" s="68">
        <v>0</v>
      </c>
    </row>
    <row r="192" spans="1:39" x14ac:dyDescent="0.2">
      <c r="A192" s="57" t="s">
        <v>2082</v>
      </c>
      <c r="B192" s="47">
        <v>46173</v>
      </c>
      <c r="C192" s="108"/>
      <c r="D192" s="48" t="s">
        <v>1399</v>
      </c>
      <c r="E192" s="49" t="s">
        <v>976</v>
      </c>
      <c r="F192" s="49" t="s">
        <v>1036</v>
      </c>
      <c r="G192" s="47" t="e">
        <v>#N/A</v>
      </c>
      <c r="H192" s="47" t="s">
        <v>22</v>
      </c>
      <c r="I192" s="9" t="s">
        <v>1094</v>
      </c>
      <c r="J192" s="40" t="s">
        <v>1754</v>
      </c>
      <c r="K192" s="9" t="s">
        <v>195</v>
      </c>
      <c r="L192" s="9" t="s">
        <v>32</v>
      </c>
      <c r="M192" s="11"/>
      <c r="N192" s="11"/>
      <c r="O192" s="50">
        <v>9.5040000000000013</v>
      </c>
      <c r="R192" s="9">
        <f>IFERROR(VLOOKUP(E192,Sheet6!$A$2:$B$500,2,FALSE),0)</f>
        <v>0</v>
      </c>
      <c r="S192" s="41">
        <f>IFERROR(VLOOKUP(E192,Sheet6!$C$2:$D$35017,2,FALSE),0)</f>
        <v>0</v>
      </c>
      <c r="U192" s="9">
        <f>IFERROR(VLOOKUP(E192,Sheet2!$AA$1:$AB$975,2,FALSE),0)</f>
        <v>0</v>
      </c>
      <c r="V192" s="41">
        <f>IFERROR(VLOOKUP(E192,Sheet2!$AC$1:$AD$975,2,FALSE),0)</f>
        <v>0</v>
      </c>
      <c r="W192" s="42">
        <f>IFERROR(VLOOKUP(E192,Sheet2!$AE$1:$AF$975,2,FALSE),0)</f>
        <v>0</v>
      </c>
      <c r="X192" s="43">
        <f>IFERROR(VLOOKUP(E192,Sheet2!$AG$1:$AH$975,2,FALSE),0)</f>
        <v>0</v>
      </c>
      <c r="Z192" s="60">
        <f>IFERROR(VLOOKUP(F192,Sheet2!$AA$1:$AB$975,2,FALSE),0)</f>
        <v>0</v>
      </c>
      <c r="AA192" s="64">
        <f>IFERROR(VLOOKUP(F192,Sheet2!$AC$1:$AD$975,2,FALSE),0)</f>
        <v>0</v>
      </c>
      <c r="AB192" s="65">
        <f>IFERROR(VLOOKUP(F192,Sheet2!$AE$2:$AF$6539,2,FALSE),0)</f>
        <v>0</v>
      </c>
      <c r="AC192" s="43">
        <f>IFERROR(VLOOKUP(F192,Sheet2!$AG$2:$AH$6539,2,FALSE),0)</f>
        <v>0</v>
      </c>
      <c r="AE192" s="112">
        <v>0</v>
      </c>
      <c r="AF192" s="9">
        <v>0</v>
      </c>
      <c r="AG192" s="9">
        <v>0</v>
      </c>
      <c r="AH192" s="9">
        <v>0</v>
      </c>
      <c r="AI192" s="9">
        <v>0</v>
      </c>
      <c r="AJ192" s="9">
        <f t="shared" si="6"/>
        <v>0</v>
      </c>
      <c r="AK192" s="45">
        <f t="shared" si="7"/>
        <v>0</v>
      </c>
      <c r="AL192" s="68">
        <v>0</v>
      </c>
      <c r="AM192" s="68">
        <v>0</v>
      </c>
    </row>
    <row r="193" spans="1:39" x14ac:dyDescent="0.2">
      <c r="A193" s="57" t="s">
        <v>2082</v>
      </c>
      <c r="B193" s="47">
        <v>46173</v>
      </c>
      <c r="C193" s="48"/>
      <c r="D193" s="48" t="s">
        <v>1400</v>
      </c>
      <c r="E193" s="49" t="s">
        <v>977</v>
      </c>
      <c r="F193" s="49" t="s">
        <v>1037</v>
      </c>
      <c r="G193" s="47" t="e">
        <v>#N/A</v>
      </c>
      <c r="H193" s="47" t="s">
        <v>22</v>
      </c>
      <c r="I193" s="9" t="s">
        <v>1094</v>
      </c>
      <c r="J193" s="40" t="s">
        <v>1754</v>
      </c>
      <c r="K193" s="9" t="s">
        <v>195</v>
      </c>
      <c r="L193" s="9" t="s">
        <v>35</v>
      </c>
      <c r="M193" s="11"/>
      <c r="N193" s="11"/>
      <c r="O193" s="50">
        <v>9.5040000000000013</v>
      </c>
      <c r="R193" s="9">
        <f>IFERROR(VLOOKUP(E193,Sheet6!$A$2:$B$500,2,FALSE),0)</f>
        <v>0</v>
      </c>
      <c r="S193" s="41">
        <f>IFERROR(VLOOKUP(E193,Sheet6!$C$2:$D$35017,2,FALSE),0)</f>
        <v>0</v>
      </c>
      <c r="U193" s="9">
        <f>IFERROR(VLOOKUP(E193,Sheet2!$AA$1:$AB$975,2,FALSE),0)</f>
        <v>0</v>
      </c>
      <c r="V193" s="41">
        <f>IFERROR(VLOOKUP(E193,Sheet2!$AC$1:$AD$975,2,FALSE),0)</f>
        <v>0</v>
      </c>
      <c r="W193" s="42">
        <f>IFERROR(VLOOKUP(E193,Sheet2!$AE$1:$AF$975,2,FALSE),0)</f>
        <v>0</v>
      </c>
      <c r="X193" s="43">
        <f>IFERROR(VLOOKUP(E193,Sheet2!$AG$1:$AH$975,2,FALSE),0)</f>
        <v>0</v>
      </c>
      <c r="Z193" s="60">
        <f>IFERROR(VLOOKUP(F193,Sheet2!$AA$1:$AB$975,2,FALSE),0)</f>
        <v>2</v>
      </c>
      <c r="AA193" s="64">
        <f>IFERROR(VLOOKUP(F193,Sheet2!$AC$1:$AD$975,2,FALSE),0)</f>
        <v>44</v>
      </c>
      <c r="AB193" s="65">
        <f>IFERROR(VLOOKUP(F193,Sheet2!$AE$2:$AF$6539,2,FALSE),0)</f>
        <v>16</v>
      </c>
      <c r="AC193" s="43">
        <f>IFERROR(VLOOKUP(F193,Sheet2!$AG$2:$AH$6539,2,FALSE),0)</f>
        <v>1</v>
      </c>
      <c r="AE193" s="112">
        <v>7</v>
      </c>
      <c r="AF193" s="9">
        <v>3</v>
      </c>
      <c r="AG193" s="9">
        <v>0</v>
      </c>
      <c r="AH193" s="9">
        <v>1</v>
      </c>
      <c r="AI193" s="9">
        <v>4</v>
      </c>
      <c r="AJ193" s="9">
        <f t="shared" si="6"/>
        <v>11</v>
      </c>
      <c r="AK193" s="45">
        <f t="shared" si="7"/>
        <v>104.54400000000001</v>
      </c>
      <c r="AL193" s="68">
        <v>0</v>
      </c>
      <c r="AM193" s="68">
        <v>0</v>
      </c>
    </row>
    <row r="194" spans="1:39" x14ac:dyDescent="0.2">
      <c r="A194" s="57" t="s">
        <v>2082</v>
      </c>
      <c r="B194" s="47">
        <v>46173</v>
      </c>
      <c r="C194" s="48"/>
      <c r="D194" s="48" t="s">
        <v>1401</v>
      </c>
      <c r="E194" s="49" t="s">
        <v>980</v>
      </c>
      <c r="F194" s="49" t="s">
        <v>1040</v>
      </c>
      <c r="G194" s="47" t="e">
        <v>#N/A</v>
      </c>
      <c r="H194" s="47" t="s">
        <v>22</v>
      </c>
      <c r="I194" s="9" t="s">
        <v>1094</v>
      </c>
      <c r="J194" s="40" t="s">
        <v>1754</v>
      </c>
      <c r="K194" s="9" t="s">
        <v>331</v>
      </c>
      <c r="L194" s="9" t="s">
        <v>29</v>
      </c>
      <c r="M194" s="11"/>
      <c r="N194" s="11"/>
      <c r="O194" s="50">
        <v>9.5040000000000013</v>
      </c>
      <c r="R194" s="9">
        <f>IFERROR(VLOOKUP(E194,Sheet6!$A$2:$B$500,2,FALSE),0)</f>
        <v>0</v>
      </c>
      <c r="S194" s="41">
        <f>IFERROR(VLOOKUP(E194,Sheet6!$C$2:$D$35017,2,FALSE),0)</f>
        <v>0</v>
      </c>
      <c r="U194" s="9">
        <f>IFERROR(VLOOKUP(E194,Sheet2!$AA$1:$AB$975,2,FALSE),0)</f>
        <v>0</v>
      </c>
      <c r="V194" s="41">
        <f>IFERROR(VLOOKUP(E194,Sheet2!$AC$1:$AD$975,2,FALSE),0)</f>
        <v>0</v>
      </c>
      <c r="W194" s="42">
        <f>IFERROR(VLOOKUP(E194,Sheet2!$AE$1:$AF$975,2,FALSE),0)</f>
        <v>0</v>
      </c>
      <c r="X194" s="43">
        <f>IFERROR(VLOOKUP(E194,Sheet2!$AG$1:$AH$975,2,FALSE),0)</f>
        <v>0</v>
      </c>
      <c r="Z194" s="60">
        <f>IFERROR(VLOOKUP(F194,Sheet2!$AA$1:$AB$975,2,FALSE),0)</f>
        <v>1</v>
      </c>
      <c r="AA194" s="64">
        <f>IFERROR(VLOOKUP(F194,Sheet2!$AC$1:$AD$975,2,FALSE),0)</f>
        <v>22</v>
      </c>
      <c r="AB194" s="65">
        <f>IFERROR(VLOOKUP(F194,Sheet2!$AE$2:$AF$6539,2,FALSE),0)</f>
        <v>9</v>
      </c>
      <c r="AC194" s="43">
        <f>IFERROR(VLOOKUP(F194,Sheet2!$AG$2:$AH$6539,2,FALSE),0)</f>
        <v>1</v>
      </c>
      <c r="AE194" s="112">
        <v>4</v>
      </c>
      <c r="AF194" s="9">
        <v>10</v>
      </c>
      <c r="AG194" s="9">
        <v>0</v>
      </c>
      <c r="AH194" s="9">
        <v>0</v>
      </c>
      <c r="AI194" s="9">
        <v>10</v>
      </c>
      <c r="AJ194" s="9">
        <f t="shared" si="6"/>
        <v>14</v>
      </c>
      <c r="AK194" s="45">
        <f t="shared" si="7"/>
        <v>133.05600000000001</v>
      </c>
      <c r="AL194" s="68">
        <v>0</v>
      </c>
      <c r="AM194" s="68">
        <v>0</v>
      </c>
    </row>
    <row r="195" spans="1:39" x14ac:dyDescent="0.2">
      <c r="A195" s="57" t="s">
        <v>2082</v>
      </c>
      <c r="B195" s="47">
        <v>46173</v>
      </c>
      <c r="C195" s="48"/>
      <c r="D195" s="48" t="s">
        <v>1402</v>
      </c>
      <c r="E195" s="49" t="s">
        <v>981</v>
      </c>
      <c r="F195" s="49" t="s">
        <v>1041</v>
      </c>
      <c r="G195" s="47" t="e">
        <v>#N/A</v>
      </c>
      <c r="H195" s="47" t="s">
        <v>22</v>
      </c>
      <c r="I195" s="9" t="s">
        <v>1094</v>
      </c>
      <c r="J195" s="40" t="s">
        <v>1754</v>
      </c>
      <c r="K195" s="9" t="s">
        <v>331</v>
      </c>
      <c r="L195" s="9" t="s">
        <v>32</v>
      </c>
      <c r="M195" s="11"/>
      <c r="N195" s="11"/>
      <c r="O195" s="50">
        <v>9.5040000000000013</v>
      </c>
      <c r="R195" s="9">
        <f>IFERROR(VLOOKUP(E195,Sheet6!$A$2:$B$500,2,FALSE),0)</f>
        <v>0</v>
      </c>
      <c r="S195" s="41">
        <f>IFERROR(VLOOKUP(E195,Sheet6!$C$2:$D$35017,2,FALSE),0)</f>
        <v>0</v>
      </c>
      <c r="U195" s="9">
        <f>IFERROR(VLOOKUP(E195,Sheet2!$AA$1:$AB$975,2,FALSE),0)</f>
        <v>0</v>
      </c>
      <c r="V195" s="41">
        <f>IFERROR(VLOOKUP(E195,Sheet2!$AC$1:$AD$975,2,FALSE),0)</f>
        <v>0</v>
      </c>
      <c r="W195" s="42">
        <f>IFERROR(VLOOKUP(E195,Sheet2!$AE$1:$AF$975,2,FALSE),0)</f>
        <v>0</v>
      </c>
      <c r="X195" s="43">
        <f>IFERROR(VLOOKUP(E195,Sheet2!$AG$1:$AH$975,2,FALSE),0)</f>
        <v>0</v>
      </c>
      <c r="Z195" s="60">
        <f>IFERROR(VLOOKUP(F195,Sheet2!$AA$1:$AB$975,2,FALSE),0)</f>
        <v>6</v>
      </c>
      <c r="AA195" s="64">
        <f>IFERROR(VLOOKUP(F195,Sheet2!$AC$1:$AD$975,2,FALSE),0)</f>
        <v>132</v>
      </c>
      <c r="AB195" s="65">
        <f>IFERROR(VLOOKUP(F195,Sheet2!$AE$2:$AF$6539,2,FALSE),0)</f>
        <v>22</v>
      </c>
      <c r="AC195" s="43">
        <f>IFERROR(VLOOKUP(F195,Sheet2!$AG$2:$AH$6539,2,FALSE),0)</f>
        <v>1</v>
      </c>
      <c r="AE195" s="112">
        <v>3</v>
      </c>
      <c r="AF195" s="9">
        <v>17</v>
      </c>
      <c r="AG195" s="9">
        <v>0</v>
      </c>
      <c r="AH195" s="9">
        <v>1</v>
      </c>
      <c r="AI195" s="9">
        <v>18</v>
      </c>
      <c r="AJ195" s="9">
        <f t="shared" si="6"/>
        <v>21</v>
      </c>
      <c r="AK195" s="45">
        <f t="shared" si="7"/>
        <v>199.58400000000003</v>
      </c>
      <c r="AL195" s="68">
        <v>0</v>
      </c>
      <c r="AM195" s="68">
        <v>0</v>
      </c>
    </row>
    <row r="196" spans="1:39" x14ac:dyDescent="0.2">
      <c r="A196" s="57" t="s">
        <v>2082</v>
      </c>
      <c r="B196" s="47">
        <v>46173</v>
      </c>
      <c r="C196" s="48"/>
      <c r="D196" s="48" t="s">
        <v>1403</v>
      </c>
      <c r="E196" s="49" t="s">
        <v>988</v>
      </c>
      <c r="F196" s="49" t="s">
        <v>1048</v>
      </c>
      <c r="G196" s="47" t="e">
        <v>#N/A</v>
      </c>
      <c r="H196" s="47" t="s">
        <v>22</v>
      </c>
      <c r="I196" s="9" t="s">
        <v>1095</v>
      </c>
      <c r="J196" s="40" t="s">
        <v>1733</v>
      </c>
      <c r="K196" s="9" t="s">
        <v>1029</v>
      </c>
      <c r="L196" s="9" t="s">
        <v>29</v>
      </c>
      <c r="M196" s="11"/>
      <c r="N196" s="11"/>
      <c r="O196" s="50">
        <v>10.376999999999999</v>
      </c>
      <c r="R196" s="9">
        <f>IFERROR(VLOOKUP(E196,Sheet6!$A$2:$B$500,2,FALSE),0)</f>
        <v>0</v>
      </c>
      <c r="S196" s="41">
        <f>IFERROR(VLOOKUP(E196,Sheet6!$C$2:$D$35017,2,FALSE),0)</f>
        <v>0</v>
      </c>
      <c r="U196" s="9">
        <f>IFERROR(VLOOKUP(E196,Sheet2!$AA$1:$AB$975,2,FALSE),0)</f>
        <v>0</v>
      </c>
      <c r="V196" s="41">
        <f>IFERROR(VLOOKUP(E196,Sheet2!$AC$1:$AD$975,2,FALSE),0)</f>
        <v>0</v>
      </c>
      <c r="W196" s="42">
        <f>IFERROR(VLOOKUP(E196,Sheet2!$AE$1:$AF$975,2,FALSE),0)</f>
        <v>0</v>
      </c>
      <c r="X196" s="43">
        <f>IFERROR(VLOOKUP(E196,Sheet2!$AG$1:$AH$975,2,FALSE),0)</f>
        <v>0</v>
      </c>
      <c r="Z196" s="60">
        <f>IFERROR(VLOOKUP(F196,Sheet2!$AA$1:$AB$975,2,FALSE),0)</f>
        <v>4</v>
      </c>
      <c r="AA196" s="64">
        <f>IFERROR(VLOOKUP(F196,Sheet2!$AC$1:$AD$975,2,FALSE),0)</f>
        <v>96</v>
      </c>
      <c r="AB196" s="65">
        <f>IFERROR(VLOOKUP(F196,Sheet2!$AE$2:$AF$6539,2,FALSE),0)</f>
        <v>12</v>
      </c>
      <c r="AC196" s="43">
        <f>IFERROR(VLOOKUP(F196,Sheet2!$AG$2:$AH$6539,2,FALSE),0)</f>
        <v>1</v>
      </c>
      <c r="AE196" s="112">
        <v>6</v>
      </c>
      <c r="AF196" s="9">
        <v>11</v>
      </c>
      <c r="AG196" s="9">
        <v>0</v>
      </c>
      <c r="AH196" s="9">
        <v>0</v>
      </c>
      <c r="AI196" s="9">
        <v>11</v>
      </c>
      <c r="AJ196" s="9">
        <f t="shared" ref="AJ196:AJ259" si="8">SUM(AE196+AI196)</f>
        <v>17</v>
      </c>
      <c r="AK196" s="45">
        <f t="shared" ref="AK196:AK259" si="9">SUM(AJ196*O196)</f>
        <v>176.40899999999999</v>
      </c>
      <c r="AL196" s="68">
        <v>0</v>
      </c>
      <c r="AM196" s="68">
        <v>0</v>
      </c>
    </row>
    <row r="197" spans="1:39" x14ac:dyDescent="0.2">
      <c r="A197" s="57" t="s">
        <v>2082</v>
      </c>
      <c r="B197" s="47">
        <v>46173</v>
      </c>
      <c r="C197" s="48"/>
      <c r="D197" s="48" t="s">
        <v>1404</v>
      </c>
      <c r="E197" s="49" t="s">
        <v>989</v>
      </c>
      <c r="F197" s="49" t="s">
        <v>1049</v>
      </c>
      <c r="G197" s="47" t="e">
        <v>#N/A</v>
      </c>
      <c r="H197" s="47" t="s">
        <v>22</v>
      </c>
      <c r="I197" s="9" t="s">
        <v>1095</v>
      </c>
      <c r="J197" s="40" t="s">
        <v>1733</v>
      </c>
      <c r="K197" s="9" t="s">
        <v>1029</v>
      </c>
      <c r="L197" s="9" t="s">
        <v>32</v>
      </c>
      <c r="M197" s="11"/>
      <c r="N197" s="11"/>
      <c r="O197" s="50">
        <v>10.376999999999999</v>
      </c>
      <c r="R197" s="9">
        <f>IFERROR(VLOOKUP(E197,Sheet6!$A$2:$B$500,2,FALSE),0)</f>
        <v>0</v>
      </c>
      <c r="S197" s="41">
        <f>IFERROR(VLOOKUP(E197,Sheet6!$C$2:$D$35017,2,FALSE),0)</f>
        <v>0</v>
      </c>
      <c r="U197" s="9">
        <f>IFERROR(VLOOKUP(E197,Sheet2!$AA$1:$AB$975,2,FALSE),0)</f>
        <v>0</v>
      </c>
      <c r="V197" s="41">
        <f>IFERROR(VLOOKUP(E197,Sheet2!$AC$1:$AD$975,2,FALSE),0)</f>
        <v>0</v>
      </c>
      <c r="W197" s="42">
        <f>IFERROR(VLOOKUP(E197,Sheet2!$AE$1:$AF$975,2,FALSE),0)</f>
        <v>0</v>
      </c>
      <c r="X197" s="43">
        <f>IFERROR(VLOOKUP(E197,Sheet2!$AG$1:$AH$975,2,FALSE),0)</f>
        <v>0</v>
      </c>
      <c r="Z197" s="60">
        <f>IFERROR(VLOOKUP(F197,Sheet2!$AA$1:$AB$975,2,FALSE),0)</f>
        <v>2</v>
      </c>
      <c r="AA197" s="64">
        <f>IFERROR(VLOOKUP(F197,Sheet2!$AC$1:$AD$975,2,FALSE),0)</f>
        <v>48</v>
      </c>
      <c r="AB197" s="65">
        <f>IFERROR(VLOOKUP(F197,Sheet2!$AE$2:$AF$6539,2,FALSE),0)</f>
        <v>14</v>
      </c>
      <c r="AC197" s="43">
        <f>IFERROR(VLOOKUP(F197,Sheet2!$AG$2:$AH$6539,2,FALSE),0)</f>
        <v>1</v>
      </c>
      <c r="AE197" s="112">
        <v>12</v>
      </c>
      <c r="AF197" s="9">
        <v>9</v>
      </c>
      <c r="AG197" s="9">
        <v>0</v>
      </c>
      <c r="AH197" s="9">
        <v>0</v>
      </c>
      <c r="AI197" s="9">
        <v>9</v>
      </c>
      <c r="AJ197" s="9">
        <f t="shared" si="8"/>
        <v>21</v>
      </c>
      <c r="AK197" s="45">
        <f t="shared" si="9"/>
        <v>217.91699999999997</v>
      </c>
      <c r="AL197" s="68">
        <v>6</v>
      </c>
      <c r="AM197" s="68">
        <v>12</v>
      </c>
    </row>
    <row r="198" spans="1:39" x14ac:dyDescent="0.2">
      <c r="A198" s="57" t="s">
        <v>2082</v>
      </c>
      <c r="B198" s="47">
        <v>46173</v>
      </c>
      <c r="C198" s="48"/>
      <c r="D198" s="48" t="s">
        <v>1405</v>
      </c>
      <c r="E198" s="49" t="s">
        <v>990</v>
      </c>
      <c r="F198" s="49" t="s">
        <v>1050</v>
      </c>
      <c r="G198" s="47" t="e">
        <v>#N/A</v>
      </c>
      <c r="H198" s="47" t="s">
        <v>22</v>
      </c>
      <c r="I198" s="9" t="s">
        <v>1095</v>
      </c>
      <c r="J198" s="40" t="s">
        <v>1733</v>
      </c>
      <c r="K198" s="9" t="s">
        <v>1029</v>
      </c>
      <c r="L198" s="9" t="s">
        <v>35</v>
      </c>
      <c r="M198" s="11"/>
      <c r="N198" s="11"/>
      <c r="O198" s="50">
        <v>10.376999999999999</v>
      </c>
      <c r="R198" s="9">
        <f>IFERROR(VLOOKUP(E198,Sheet6!$A$2:$B$500,2,FALSE),0)</f>
        <v>0</v>
      </c>
      <c r="S198" s="41">
        <f>IFERROR(VLOOKUP(E198,Sheet6!$C$2:$D$35017,2,FALSE),0)</f>
        <v>0</v>
      </c>
      <c r="U198" s="9">
        <f>IFERROR(VLOOKUP(E198,Sheet2!$AA$1:$AB$975,2,FALSE),0)</f>
        <v>0</v>
      </c>
      <c r="V198" s="41">
        <f>IFERROR(VLOOKUP(E198,Sheet2!$AC$1:$AD$975,2,FALSE),0)</f>
        <v>0</v>
      </c>
      <c r="W198" s="42">
        <f>IFERROR(VLOOKUP(E198,Sheet2!$AE$1:$AF$975,2,FALSE),0)</f>
        <v>0</v>
      </c>
      <c r="X198" s="43">
        <f>IFERROR(VLOOKUP(E198,Sheet2!$AG$1:$AH$975,2,FALSE),0)</f>
        <v>0</v>
      </c>
      <c r="Z198" s="60">
        <f>IFERROR(VLOOKUP(F198,Sheet2!$AA$1:$AB$975,2,FALSE),0)</f>
        <v>3</v>
      </c>
      <c r="AA198" s="64">
        <f>IFERROR(VLOOKUP(F198,Sheet2!$AC$1:$AD$975,2,FALSE),0)</f>
        <v>72</v>
      </c>
      <c r="AB198" s="65">
        <f>IFERROR(VLOOKUP(F198,Sheet2!$AE$2:$AF$6539,2,FALSE),0)</f>
        <v>8</v>
      </c>
      <c r="AC198" s="43">
        <f>IFERROR(VLOOKUP(F198,Sheet2!$AG$2:$AH$6539,2,FALSE),0)</f>
        <v>1</v>
      </c>
      <c r="AE198" s="112">
        <v>12</v>
      </c>
      <c r="AF198" s="9">
        <v>8</v>
      </c>
      <c r="AG198" s="9">
        <v>0</v>
      </c>
      <c r="AH198" s="9">
        <v>0</v>
      </c>
      <c r="AI198" s="9">
        <v>8</v>
      </c>
      <c r="AJ198" s="9">
        <f t="shared" si="8"/>
        <v>20</v>
      </c>
      <c r="AK198" s="45">
        <f t="shared" si="9"/>
        <v>207.53999999999996</v>
      </c>
      <c r="AL198" s="68">
        <v>6</v>
      </c>
      <c r="AM198" s="68">
        <v>0</v>
      </c>
    </row>
    <row r="199" spans="1:39" x14ac:dyDescent="0.2">
      <c r="A199" s="57" t="s">
        <v>2082</v>
      </c>
      <c r="B199" s="47">
        <v>46173</v>
      </c>
      <c r="C199" s="48"/>
      <c r="D199" s="48" t="s">
        <v>1406</v>
      </c>
      <c r="E199" s="49" t="s">
        <v>982</v>
      </c>
      <c r="F199" s="49" t="s">
        <v>1042</v>
      </c>
      <c r="G199" s="47" t="e">
        <v>#N/A</v>
      </c>
      <c r="H199" s="47" t="s">
        <v>22</v>
      </c>
      <c r="I199" s="9" t="s">
        <v>1096</v>
      </c>
      <c r="J199" s="40" t="s">
        <v>1744</v>
      </c>
      <c r="K199" s="9" t="s">
        <v>484</v>
      </c>
      <c r="L199" s="9" t="s">
        <v>29</v>
      </c>
      <c r="M199" s="11"/>
      <c r="N199" s="11"/>
      <c r="O199" s="50">
        <v>9.072000000000001</v>
      </c>
      <c r="R199" s="9">
        <f>IFERROR(VLOOKUP(E199,Sheet6!$A$2:$B$500,2,FALSE),0)</f>
        <v>0</v>
      </c>
      <c r="S199" s="41">
        <f>IFERROR(VLOOKUP(E199,Sheet6!$C$2:$D$35017,2,FALSE),0)</f>
        <v>0</v>
      </c>
      <c r="U199" s="9">
        <f>IFERROR(VLOOKUP(E199,Sheet2!$AA$1:$AB$975,2,FALSE),0)</f>
        <v>0</v>
      </c>
      <c r="V199" s="41">
        <f>IFERROR(VLOOKUP(E199,Sheet2!$AC$1:$AD$975,2,FALSE),0)</f>
        <v>0</v>
      </c>
      <c r="W199" s="42">
        <f>IFERROR(VLOOKUP(E199,Sheet2!$AE$1:$AF$975,2,FALSE),0)</f>
        <v>0</v>
      </c>
      <c r="X199" s="43">
        <f>IFERROR(VLOOKUP(E199,Sheet2!$AG$1:$AH$975,2,FALSE),0)</f>
        <v>0</v>
      </c>
      <c r="Z199" s="60">
        <f>IFERROR(VLOOKUP(F199,Sheet2!$AA$1:$AB$975,2,FALSE),0)</f>
        <v>0</v>
      </c>
      <c r="AA199" s="64">
        <f>IFERROR(VLOOKUP(F199,Sheet2!$AC$1:$AD$975,2,FALSE),0)</f>
        <v>0</v>
      </c>
      <c r="AB199" s="65">
        <f>IFERROR(VLOOKUP(F199,Sheet2!$AE$2:$AF$6539,2,FALSE),0)</f>
        <v>0</v>
      </c>
      <c r="AC199" s="43">
        <f>IFERROR(VLOOKUP(F199,Sheet2!$AG$2:$AH$6539,2,FALSE),0)</f>
        <v>0</v>
      </c>
      <c r="AE199" s="112">
        <v>2</v>
      </c>
      <c r="AF199" s="9">
        <v>18</v>
      </c>
      <c r="AG199" s="9">
        <v>0</v>
      </c>
      <c r="AH199" s="9">
        <v>0</v>
      </c>
      <c r="AI199" s="9">
        <v>18</v>
      </c>
      <c r="AJ199" s="9">
        <f t="shared" si="8"/>
        <v>20</v>
      </c>
      <c r="AK199" s="45">
        <f t="shared" si="9"/>
        <v>181.44000000000003</v>
      </c>
      <c r="AL199" s="68">
        <v>0</v>
      </c>
      <c r="AM199" s="68">
        <v>0</v>
      </c>
    </row>
    <row r="200" spans="1:39" x14ac:dyDescent="0.2">
      <c r="A200" s="57" t="s">
        <v>2082</v>
      </c>
      <c r="B200" s="47">
        <v>46173</v>
      </c>
      <c r="C200" s="48"/>
      <c r="D200" s="48" t="s">
        <v>1407</v>
      </c>
      <c r="E200" s="49" t="s">
        <v>983</v>
      </c>
      <c r="F200" s="49" t="s">
        <v>1043</v>
      </c>
      <c r="G200" s="47" t="e">
        <v>#N/A</v>
      </c>
      <c r="H200" s="47" t="s">
        <v>22</v>
      </c>
      <c r="I200" s="9" t="s">
        <v>1096</v>
      </c>
      <c r="J200" s="40" t="s">
        <v>1744</v>
      </c>
      <c r="K200" s="9" t="s">
        <v>484</v>
      </c>
      <c r="L200" s="9" t="s">
        <v>32</v>
      </c>
      <c r="M200" s="11"/>
      <c r="N200" s="11"/>
      <c r="O200" s="50">
        <v>9.072000000000001</v>
      </c>
      <c r="R200" s="9">
        <f>IFERROR(VLOOKUP(E200,Sheet6!$A$2:$B$500,2,FALSE),0)</f>
        <v>0</v>
      </c>
      <c r="S200" s="41">
        <f>IFERROR(VLOOKUP(E200,Sheet6!$C$2:$D$35017,2,FALSE),0)</f>
        <v>0</v>
      </c>
      <c r="U200" s="9">
        <f>IFERROR(VLOOKUP(E200,Sheet2!$AA$1:$AB$975,2,FALSE),0)</f>
        <v>0</v>
      </c>
      <c r="V200" s="41">
        <f>IFERROR(VLOOKUP(E200,Sheet2!$AC$1:$AD$975,2,FALSE),0)</f>
        <v>0</v>
      </c>
      <c r="W200" s="42">
        <f>IFERROR(VLOOKUP(E200,Sheet2!$AE$1:$AF$975,2,FALSE),0)</f>
        <v>0</v>
      </c>
      <c r="X200" s="43">
        <f>IFERROR(VLOOKUP(E200,Sheet2!$AG$1:$AH$975,2,FALSE),0)</f>
        <v>0</v>
      </c>
      <c r="Z200" s="60">
        <f>IFERROR(VLOOKUP(F200,Sheet2!$AA$1:$AB$975,2,FALSE),0)</f>
        <v>1</v>
      </c>
      <c r="AA200" s="64">
        <f>IFERROR(VLOOKUP(F200,Sheet2!$AC$1:$AD$975,2,FALSE),0)</f>
        <v>21</v>
      </c>
      <c r="AB200" s="65">
        <f>IFERROR(VLOOKUP(F200,Sheet2!$AE$2:$AF$6539,2,FALSE),0)</f>
        <v>7</v>
      </c>
      <c r="AC200" s="43">
        <f>IFERROR(VLOOKUP(F200,Sheet2!$AG$2:$AH$6539,2,FALSE),0)</f>
        <v>1</v>
      </c>
      <c r="AE200" s="112">
        <v>7</v>
      </c>
      <c r="AF200" s="9">
        <v>27</v>
      </c>
      <c r="AG200" s="9">
        <v>0</v>
      </c>
      <c r="AH200" s="9">
        <v>0</v>
      </c>
      <c r="AI200" s="9">
        <v>27</v>
      </c>
      <c r="AJ200" s="9">
        <f t="shared" si="8"/>
        <v>34</v>
      </c>
      <c r="AK200" s="45">
        <f t="shared" si="9"/>
        <v>308.44800000000004</v>
      </c>
      <c r="AL200" s="68">
        <v>0</v>
      </c>
      <c r="AM200" s="68">
        <v>0</v>
      </c>
    </row>
    <row r="201" spans="1:39" x14ac:dyDescent="0.2">
      <c r="A201" s="57" t="s">
        <v>2082</v>
      </c>
      <c r="B201" s="47">
        <v>46173</v>
      </c>
      <c r="C201" s="108"/>
      <c r="D201" s="48" t="s">
        <v>1408</v>
      </c>
      <c r="E201" s="49" t="s">
        <v>984</v>
      </c>
      <c r="F201" s="49" t="s">
        <v>1044</v>
      </c>
      <c r="G201" s="47" t="s">
        <v>959</v>
      </c>
      <c r="H201" s="47" t="s">
        <v>22</v>
      </c>
      <c r="I201" s="9" t="s">
        <v>1096</v>
      </c>
      <c r="J201" s="40" t="s">
        <v>1744</v>
      </c>
      <c r="K201" s="9" t="s">
        <v>484</v>
      </c>
      <c r="L201" s="9" t="s">
        <v>35</v>
      </c>
      <c r="M201" s="11"/>
      <c r="N201" s="11"/>
      <c r="O201" s="50">
        <v>9.072000000000001</v>
      </c>
      <c r="R201" s="9">
        <f>IFERROR(VLOOKUP(E201,Sheet6!$A$2:$B$500,2,FALSE),0)</f>
        <v>0</v>
      </c>
      <c r="S201" s="41">
        <f>IFERROR(VLOOKUP(E201,Sheet6!$C$2:$D$35017,2,FALSE),0)</f>
        <v>0</v>
      </c>
      <c r="U201" s="9">
        <f>IFERROR(VLOOKUP(E201,Sheet2!$AA$1:$AB$975,2,FALSE),0)</f>
        <v>0</v>
      </c>
      <c r="V201" s="41">
        <f>IFERROR(VLOOKUP(E201,Sheet2!$AC$1:$AD$975,2,FALSE),0)</f>
        <v>0</v>
      </c>
      <c r="W201" s="42">
        <f>IFERROR(VLOOKUP(E201,Sheet2!$AE$1:$AF$975,2,FALSE),0)</f>
        <v>0</v>
      </c>
      <c r="X201" s="43">
        <f>IFERROR(VLOOKUP(E201,Sheet2!$AG$1:$AH$975,2,FALSE),0)</f>
        <v>0</v>
      </c>
      <c r="Z201" s="60">
        <f>IFERROR(VLOOKUP(F201,Sheet2!$AA$1:$AB$975,2,FALSE),0)</f>
        <v>0</v>
      </c>
      <c r="AA201" s="64">
        <f>IFERROR(VLOOKUP(F201,Sheet2!$AC$1:$AD$975,2,FALSE),0)</f>
        <v>0</v>
      </c>
      <c r="AB201" s="65">
        <f>IFERROR(VLOOKUP(F201,Sheet2!$AE$2:$AF$6539,2,FALSE),0)</f>
        <v>0</v>
      </c>
      <c r="AC201" s="43">
        <f>IFERROR(VLOOKUP(F201,Sheet2!$AG$2:$AH$6539,2,FALSE),0)</f>
        <v>0</v>
      </c>
      <c r="AE201" s="112">
        <v>15</v>
      </c>
      <c r="AF201" s="9">
        <v>6</v>
      </c>
      <c r="AG201" s="9">
        <v>0</v>
      </c>
      <c r="AH201" s="9">
        <v>0</v>
      </c>
      <c r="AI201" s="9">
        <v>6</v>
      </c>
      <c r="AJ201" s="9">
        <f t="shared" si="8"/>
        <v>21</v>
      </c>
      <c r="AK201" s="45">
        <f t="shared" si="9"/>
        <v>190.51200000000003</v>
      </c>
      <c r="AL201" s="68">
        <v>0</v>
      </c>
      <c r="AM201" s="68">
        <v>0</v>
      </c>
    </row>
    <row r="202" spans="1:39" x14ac:dyDescent="0.2">
      <c r="A202" s="57" t="s">
        <v>2082</v>
      </c>
      <c r="B202" s="47">
        <v>46173</v>
      </c>
      <c r="C202" s="48"/>
      <c r="D202" s="48" t="s">
        <v>1409</v>
      </c>
      <c r="E202" s="49" t="s">
        <v>985</v>
      </c>
      <c r="F202" s="49" t="s">
        <v>1045</v>
      </c>
      <c r="G202" s="47" t="e">
        <v>#N/A</v>
      </c>
      <c r="H202" s="47" t="s">
        <v>22</v>
      </c>
      <c r="I202" s="9" t="s">
        <v>1096</v>
      </c>
      <c r="J202" s="40" t="s">
        <v>1744</v>
      </c>
      <c r="K202" s="9" t="s">
        <v>458</v>
      </c>
      <c r="L202" s="9" t="s">
        <v>29</v>
      </c>
      <c r="M202" s="11"/>
      <c r="N202" s="11"/>
      <c r="O202" s="50">
        <v>9.072000000000001</v>
      </c>
      <c r="R202" s="9">
        <f>IFERROR(VLOOKUP(E202,Sheet6!$A$2:$B$500,2,FALSE),0)</f>
        <v>0</v>
      </c>
      <c r="S202" s="41">
        <f>IFERROR(VLOOKUP(E202,Sheet6!$C$2:$D$35017,2,FALSE),0)</f>
        <v>0</v>
      </c>
      <c r="U202" s="9">
        <f>IFERROR(VLOOKUP(E202,Sheet2!$AA$1:$AB$975,2,FALSE),0)</f>
        <v>0</v>
      </c>
      <c r="V202" s="41">
        <f>IFERROR(VLOOKUP(E202,Sheet2!$AC$1:$AD$975,2,FALSE),0)</f>
        <v>0</v>
      </c>
      <c r="W202" s="42">
        <f>IFERROR(VLOOKUP(E202,Sheet2!$AE$1:$AF$975,2,FALSE),0)</f>
        <v>0</v>
      </c>
      <c r="X202" s="43">
        <f>IFERROR(VLOOKUP(E202,Sheet2!$AG$1:$AH$975,2,FALSE),0)</f>
        <v>0</v>
      </c>
      <c r="Z202" s="60">
        <f>IFERROR(VLOOKUP(F202,Sheet2!$AA$1:$AB$975,2,FALSE),0)</f>
        <v>0</v>
      </c>
      <c r="AA202" s="64">
        <f>IFERROR(VLOOKUP(F202,Sheet2!$AC$1:$AD$975,2,FALSE),0)</f>
        <v>0</v>
      </c>
      <c r="AB202" s="65">
        <f>IFERROR(VLOOKUP(F202,Sheet2!$AE$2:$AF$6539,2,FALSE),0)</f>
        <v>0</v>
      </c>
      <c r="AC202" s="43">
        <f>IFERROR(VLOOKUP(F202,Sheet2!$AG$2:$AH$6539,2,FALSE),0)</f>
        <v>0</v>
      </c>
      <c r="AE202" s="112">
        <v>2</v>
      </c>
      <c r="AF202" s="9">
        <v>28</v>
      </c>
      <c r="AG202" s="9">
        <v>0</v>
      </c>
      <c r="AH202" s="9">
        <v>2</v>
      </c>
      <c r="AI202" s="9">
        <v>30</v>
      </c>
      <c r="AJ202" s="9">
        <f t="shared" si="8"/>
        <v>32</v>
      </c>
      <c r="AK202" s="45">
        <f t="shared" si="9"/>
        <v>290.30400000000003</v>
      </c>
      <c r="AL202" s="68">
        <v>0</v>
      </c>
      <c r="AM202" s="68">
        <v>0</v>
      </c>
    </row>
    <row r="203" spans="1:39" x14ac:dyDescent="0.2">
      <c r="A203" s="57" t="s">
        <v>2082</v>
      </c>
      <c r="B203" s="47">
        <v>46173</v>
      </c>
      <c r="C203" s="108"/>
      <c r="D203" s="48" t="s">
        <v>1410</v>
      </c>
      <c r="E203" s="49" t="s">
        <v>986</v>
      </c>
      <c r="F203" s="49" t="s">
        <v>1046</v>
      </c>
      <c r="G203" s="47" t="e">
        <v>#N/A</v>
      </c>
      <c r="H203" s="47" t="s">
        <v>22</v>
      </c>
      <c r="I203" s="9" t="s">
        <v>1096</v>
      </c>
      <c r="J203" s="40" t="s">
        <v>1744</v>
      </c>
      <c r="K203" s="9" t="s">
        <v>458</v>
      </c>
      <c r="L203" s="9" t="s">
        <v>32</v>
      </c>
      <c r="M203" s="11"/>
      <c r="N203" s="11"/>
      <c r="O203" s="50">
        <v>9.072000000000001</v>
      </c>
      <c r="R203" s="9">
        <f>IFERROR(VLOOKUP(E203,Sheet6!$A$2:$B$500,2,FALSE),0)</f>
        <v>0</v>
      </c>
      <c r="S203" s="41">
        <f>IFERROR(VLOOKUP(E203,Sheet6!$C$2:$D$35017,2,FALSE),0)</f>
        <v>0</v>
      </c>
      <c r="U203" s="9">
        <f>IFERROR(VLOOKUP(E203,Sheet2!$AA$1:$AB$975,2,FALSE),0)</f>
        <v>1</v>
      </c>
      <c r="V203" s="41">
        <f>IFERROR(VLOOKUP(E203,Sheet2!$AC$1:$AD$975,2,FALSE),0)</f>
        <v>21</v>
      </c>
      <c r="W203" s="42">
        <f>IFERROR(VLOOKUP(E203,Sheet2!$AE$1:$AF$975,2,FALSE),0)</f>
        <v>14</v>
      </c>
      <c r="X203" s="43">
        <f>IFERROR(VLOOKUP(E203,Sheet2!$AG$1:$AH$975,2,FALSE),0)</f>
        <v>1</v>
      </c>
      <c r="Z203" s="60">
        <f>IFERROR(VLOOKUP(F203,Sheet2!$AA$1:$AB$975,2,FALSE),0)</f>
        <v>0</v>
      </c>
      <c r="AA203" s="64">
        <f>IFERROR(VLOOKUP(F203,Sheet2!$AC$1:$AD$975,2,FALSE),0)</f>
        <v>0</v>
      </c>
      <c r="AB203" s="65">
        <f>IFERROR(VLOOKUP(F203,Sheet2!$AE$2:$AF$6539,2,FALSE),0)</f>
        <v>0</v>
      </c>
      <c r="AC203" s="43">
        <f>IFERROR(VLOOKUP(F203,Sheet2!$AG$2:$AH$6539,2,FALSE),0)</f>
        <v>0</v>
      </c>
      <c r="AE203" s="112">
        <v>21</v>
      </c>
      <c r="AF203" s="9">
        <v>0</v>
      </c>
      <c r="AG203" s="9">
        <v>0</v>
      </c>
      <c r="AH203" s="9">
        <v>0</v>
      </c>
      <c r="AI203" s="9">
        <v>0</v>
      </c>
      <c r="AJ203" s="9">
        <f t="shared" si="8"/>
        <v>21</v>
      </c>
      <c r="AK203" s="45">
        <f t="shared" si="9"/>
        <v>190.51200000000003</v>
      </c>
      <c r="AL203" s="68">
        <v>0</v>
      </c>
      <c r="AM203" s="68">
        <v>0</v>
      </c>
    </row>
    <row r="204" spans="1:39" x14ac:dyDescent="0.2">
      <c r="A204" s="57" t="s">
        <v>2082</v>
      </c>
      <c r="B204" s="47">
        <v>46173</v>
      </c>
      <c r="C204" s="108"/>
      <c r="D204" s="48" t="s">
        <v>1411</v>
      </c>
      <c r="E204" s="49" t="s">
        <v>987</v>
      </c>
      <c r="F204" s="49" t="s">
        <v>1047</v>
      </c>
      <c r="G204" s="47" t="e">
        <v>#N/A</v>
      </c>
      <c r="H204" s="47" t="s">
        <v>22</v>
      </c>
      <c r="I204" s="9" t="s">
        <v>1096</v>
      </c>
      <c r="J204" s="40" t="s">
        <v>1744</v>
      </c>
      <c r="K204" s="9" t="s">
        <v>458</v>
      </c>
      <c r="L204" s="9" t="s">
        <v>35</v>
      </c>
      <c r="M204" s="11"/>
      <c r="N204" s="11"/>
      <c r="O204" s="50">
        <v>9.072000000000001</v>
      </c>
      <c r="R204" s="9">
        <f>IFERROR(VLOOKUP(E204,Sheet6!$A$2:$B$500,2,FALSE),0)</f>
        <v>0</v>
      </c>
      <c r="S204" s="41">
        <f>IFERROR(VLOOKUP(E204,Sheet6!$C$2:$D$35017,2,FALSE),0)</f>
        <v>0</v>
      </c>
      <c r="U204" s="9">
        <f>IFERROR(VLOOKUP(E204,Sheet2!$AA$1:$AB$975,2,FALSE),0)</f>
        <v>1</v>
      </c>
      <c r="V204" s="41">
        <f>IFERROR(VLOOKUP(E204,Sheet2!$AC$1:$AD$975,2,FALSE),0)</f>
        <v>21</v>
      </c>
      <c r="W204" s="42">
        <f>IFERROR(VLOOKUP(E204,Sheet2!$AE$1:$AF$975,2,FALSE),0)</f>
        <v>3</v>
      </c>
      <c r="X204" s="43">
        <f>IFERROR(VLOOKUP(E204,Sheet2!$AG$1:$AH$975,2,FALSE),0)</f>
        <v>1</v>
      </c>
      <c r="Z204" s="60">
        <f>IFERROR(VLOOKUP(F204,Sheet2!$AA$1:$AB$975,2,FALSE),0)</f>
        <v>0</v>
      </c>
      <c r="AA204" s="64">
        <f>IFERROR(VLOOKUP(F204,Sheet2!$AC$1:$AD$975,2,FALSE),0)</f>
        <v>0</v>
      </c>
      <c r="AB204" s="65">
        <f>IFERROR(VLOOKUP(F204,Sheet2!$AE$2:$AF$6539,2,FALSE),0)</f>
        <v>0</v>
      </c>
      <c r="AC204" s="43">
        <f>IFERROR(VLOOKUP(F204,Sheet2!$AG$2:$AH$6539,2,FALSE),0)</f>
        <v>0</v>
      </c>
      <c r="AE204" s="112">
        <v>7</v>
      </c>
      <c r="AF204" s="9">
        <v>0</v>
      </c>
      <c r="AG204" s="9">
        <v>0</v>
      </c>
      <c r="AH204" s="9">
        <v>0</v>
      </c>
      <c r="AI204" s="9">
        <v>0</v>
      </c>
      <c r="AJ204" s="9">
        <f t="shared" si="8"/>
        <v>7</v>
      </c>
      <c r="AK204" s="45">
        <f t="shared" si="9"/>
        <v>63.504000000000005</v>
      </c>
      <c r="AL204" s="68">
        <v>0</v>
      </c>
      <c r="AM204" s="68">
        <v>0</v>
      </c>
    </row>
    <row r="205" spans="1:39" x14ac:dyDescent="0.2">
      <c r="A205" s="57" t="s">
        <v>2082</v>
      </c>
      <c r="B205" s="47">
        <v>46173</v>
      </c>
      <c r="C205" s="48"/>
      <c r="D205" s="48" t="s">
        <v>1412</v>
      </c>
      <c r="E205" s="49" t="s">
        <v>996</v>
      </c>
      <c r="F205" s="49" t="s">
        <v>1056</v>
      </c>
      <c r="G205" s="47" t="e">
        <v>#N/A</v>
      </c>
      <c r="H205" s="47" t="s">
        <v>94</v>
      </c>
      <c r="I205" s="9" t="s">
        <v>1097</v>
      </c>
      <c r="J205" s="40" t="s">
        <v>1840</v>
      </c>
      <c r="K205" s="9" t="s">
        <v>41</v>
      </c>
      <c r="L205" s="9" t="s">
        <v>29</v>
      </c>
      <c r="M205" s="11"/>
      <c r="N205" s="11"/>
      <c r="O205" s="50">
        <v>10.8</v>
      </c>
      <c r="R205" s="9">
        <f>IFERROR(VLOOKUP(E205,Sheet6!$A$2:$B$500,2,FALSE),0)</f>
        <v>0</v>
      </c>
      <c r="S205" s="41">
        <f>IFERROR(VLOOKUP(E205,Sheet6!$C$2:$D$35017,2,FALSE),0)</f>
        <v>0</v>
      </c>
      <c r="U205" s="9">
        <f>IFERROR(VLOOKUP(E205,Sheet2!$AA$1:$AB$975,2,FALSE),0)</f>
        <v>0</v>
      </c>
      <c r="V205" s="41">
        <f>IFERROR(VLOOKUP(E205,Sheet2!$AC$1:$AD$975,2,FALSE),0)</f>
        <v>0</v>
      </c>
      <c r="W205" s="42">
        <f>IFERROR(VLOOKUP(E205,Sheet2!$AE$1:$AF$975,2,FALSE),0)</f>
        <v>0</v>
      </c>
      <c r="X205" s="43">
        <f>IFERROR(VLOOKUP(E205,Sheet2!$AG$1:$AH$975,2,FALSE),0)</f>
        <v>0</v>
      </c>
      <c r="Z205" s="60">
        <f>IFERROR(VLOOKUP(F205,Sheet2!$AA$1:$AB$975,2,FALSE),0)</f>
        <v>0</v>
      </c>
      <c r="AA205" s="64">
        <f>IFERROR(VLOOKUP(F205,Sheet2!$AC$1:$AD$975,2,FALSE),0)</f>
        <v>0</v>
      </c>
      <c r="AB205" s="65">
        <f>IFERROR(VLOOKUP(F205,Sheet2!$AE$2:$AF$6539,2,FALSE),0)</f>
        <v>0</v>
      </c>
      <c r="AC205" s="43">
        <f>IFERROR(VLOOKUP(F205,Sheet2!$AG$2:$AH$6539,2,FALSE),0)</f>
        <v>0</v>
      </c>
      <c r="AE205" s="112">
        <v>38</v>
      </c>
      <c r="AF205" s="9">
        <v>29</v>
      </c>
      <c r="AG205" s="9">
        <v>0</v>
      </c>
      <c r="AH205" s="9">
        <v>0</v>
      </c>
      <c r="AI205" s="9">
        <v>29</v>
      </c>
      <c r="AJ205" s="9">
        <f t="shared" si="8"/>
        <v>67</v>
      </c>
      <c r="AK205" s="45">
        <f t="shared" si="9"/>
        <v>723.6</v>
      </c>
      <c r="AL205" s="68">
        <v>0</v>
      </c>
      <c r="AM205" s="68">
        <v>0</v>
      </c>
    </row>
    <row r="206" spans="1:39" x14ac:dyDescent="0.2">
      <c r="A206" s="57" t="s">
        <v>2082</v>
      </c>
      <c r="B206" s="47">
        <v>46173</v>
      </c>
      <c r="C206" s="48"/>
      <c r="D206" s="48" t="s">
        <v>1413</v>
      </c>
      <c r="E206" s="49" t="s">
        <v>997</v>
      </c>
      <c r="F206" s="49" t="s">
        <v>1057</v>
      </c>
      <c r="G206" s="47" t="e">
        <v>#N/A</v>
      </c>
      <c r="H206" s="47" t="s">
        <v>94</v>
      </c>
      <c r="I206" s="9" t="s">
        <v>1097</v>
      </c>
      <c r="J206" s="40" t="s">
        <v>1840</v>
      </c>
      <c r="K206" s="9" t="s">
        <v>41</v>
      </c>
      <c r="L206" s="9" t="s">
        <v>32</v>
      </c>
      <c r="M206" s="11"/>
      <c r="N206" s="11"/>
      <c r="O206" s="50">
        <v>10.8</v>
      </c>
      <c r="R206" s="9">
        <f>IFERROR(VLOOKUP(E206,Sheet6!$A$2:$B$500,2,FALSE),0)</f>
        <v>0</v>
      </c>
      <c r="S206" s="41">
        <f>IFERROR(VLOOKUP(E206,Sheet6!$C$2:$D$35017,2,FALSE),0)</f>
        <v>0</v>
      </c>
      <c r="U206" s="9">
        <f>IFERROR(VLOOKUP(E206,Sheet2!$AA$1:$AB$975,2,FALSE),0)</f>
        <v>0</v>
      </c>
      <c r="V206" s="41">
        <f>IFERROR(VLOOKUP(E206,Sheet2!$AC$1:$AD$975,2,FALSE),0)</f>
        <v>0</v>
      </c>
      <c r="W206" s="42">
        <f>IFERROR(VLOOKUP(E206,Sheet2!$AE$1:$AF$975,2,FALSE),0)</f>
        <v>0</v>
      </c>
      <c r="X206" s="43">
        <f>IFERROR(VLOOKUP(E206,Sheet2!$AG$1:$AH$975,2,FALSE),0)</f>
        <v>0</v>
      </c>
      <c r="Z206" s="60">
        <f>IFERROR(VLOOKUP(F206,Sheet2!$AA$1:$AB$975,2,FALSE),0)</f>
        <v>3</v>
      </c>
      <c r="AA206" s="64">
        <f>IFERROR(VLOOKUP(F206,Sheet2!$AC$1:$AD$975,2,FALSE),0)</f>
        <v>75</v>
      </c>
      <c r="AB206" s="65">
        <f>IFERROR(VLOOKUP(F206,Sheet2!$AE$2:$AF$6539,2,FALSE),0)</f>
        <v>17</v>
      </c>
      <c r="AC206" s="43">
        <f>IFERROR(VLOOKUP(F206,Sheet2!$AG$2:$AH$6539,2,FALSE),0)</f>
        <v>1</v>
      </c>
      <c r="AE206" s="112">
        <v>3</v>
      </c>
      <c r="AF206" s="9">
        <v>10</v>
      </c>
      <c r="AG206" s="9">
        <v>0</v>
      </c>
      <c r="AH206" s="9">
        <v>0</v>
      </c>
      <c r="AI206" s="9">
        <v>10</v>
      </c>
      <c r="AJ206" s="9">
        <f t="shared" si="8"/>
        <v>13</v>
      </c>
      <c r="AK206" s="45">
        <f t="shared" si="9"/>
        <v>140.4</v>
      </c>
      <c r="AL206" s="68">
        <v>12</v>
      </c>
      <c r="AM206" s="68">
        <v>0</v>
      </c>
    </row>
    <row r="207" spans="1:39" x14ac:dyDescent="0.2">
      <c r="A207" s="57" t="s">
        <v>2082</v>
      </c>
      <c r="B207" s="47">
        <v>46173</v>
      </c>
      <c r="C207" s="48"/>
      <c r="D207" s="48" t="s">
        <v>1414</v>
      </c>
      <c r="E207" s="49" t="s">
        <v>998</v>
      </c>
      <c r="F207" s="49" t="s">
        <v>1058</v>
      </c>
      <c r="G207" s="47" t="e">
        <v>#N/A</v>
      </c>
      <c r="H207" s="47" t="s">
        <v>94</v>
      </c>
      <c r="I207" s="9" t="s">
        <v>1097</v>
      </c>
      <c r="J207" s="40" t="s">
        <v>1840</v>
      </c>
      <c r="K207" s="9" t="s">
        <v>41</v>
      </c>
      <c r="L207" s="9" t="s">
        <v>35</v>
      </c>
      <c r="M207" s="11"/>
      <c r="N207" s="11"/>
      <c r="O207" s="50">
        <v>10.8</v>
      </c>
      <c r="R207" s="9">
        <f>IFERROR(VLOOKUP(E207,Sheet6!$A$2:$B$500,2,FALSE),0)</f>
        <v>0</v>
      </c>
      <c r="S207" s="41">
        <f>IFERROR(VLOOKUP(E207,Sheet6!$C$2:$D$35017,2,FALSE),0)</f>
        <v>0</v>
      </c>
      <c r="U207" s="9">
        <f>IFERROR(VLOOKUP(E207,Sheet2!$AA$1:$AB$975,2,FALSE),0)</f>
        <v>0</v>
      </c>
      <c r="V207" s="41">
        <f>IFERROR(VLOOKUP(E207,Sheet2!$AC$1:$AD$975,2,FALSE),0)</f>
        <v>0</v>
      </c>
      <c r="W207" s="42">
        <f>IFERROR(VLOOKUP(E207,Sheet2!$AE$1:$AF$975,2,FALSE),0)</f>
        <v>0</v>
      </c>
      <c r="X207" s="43">
        <f>IFERROR(VLOOKUP(E207,Sheet2!$AG$1:$AH$975,2,FALSE),0)</f>
        <v>0</v>
      </c>
      <c r="Z207" s="60">
        <f>IFERROR(VLOOKUP(F207,Sheet2!$AA$1:$AB$975,2,FALSE),0)</f>
        <v>0</v>
      </c>
      <c r="AA207" s="64">
        <f>IFERROR(VLOOKUP(F207,Sheet2!$AC$1:$AD$975,2,FALSE),0)</f>
        <v>0</v>
      </c>
      <c r="AB207" s="65">
        <f>IFERROR(VLOOKUP(F207,Sheet2!$AE$2:$AF$6539,2,FALSE),0)</f>
        <v>0</v>
      </c>
      <c r="AC207" s="43">
        <f>IFERROR(VLOOKUP(F207,Sheet2!$AG$2:$AH$6539,2,FALSE),0)</f>
        <v>0</v>
      </c>
      <c r="AE207" s="112">
        <v>4</v>
      </c>
      <c r="AF207" s="9">
        <v>0</v>
      </c>
      <c r="AG207" s="9">
        <v>0</v>
      </c>
      <c r="AH207" s="9">
        <v>0</v>
      </c>
      <c r="AI207" s="9">
        <v>0</v>
      </c>
      <c r="AJ207" s="9">
        <f t="shared" si="8"/>
        <v>4</v>
      </c>
      <c r="AK207" s="45">
        <f t="shared" si="9"/>
        <v>43.2</v>
      </c>
      <c r="AL207" s="68">
        <v>6</v>
      </c>
      <c r="AM207" s="68">
        <v>0</v>
      </c>
    </row>
    <row r="208" spans="1:39" x14ac:dyDescent="0.2">
      <c r="A208" s="57" t="s">
        <v>2082</v>
      </c>
      <c r="B208" s="47">
        <v>46173</v>
      </c>
      <c r="C208" s="48"/>
      <c r="D208" s="48" t="s">
        <v>1415</v>
      </c>
      <c r="E208" s="49" t="s">
        <v>431</v>
      </c>
      <c r="F208" s="49" t="s">
        <v>432</v>
      </c>
      <c r="G208" s="47" t="e">
        <v>#N/A</v>
      </c>
      <c r="H208" s="47" t="s">
        <v>94</v>
      </c>
      <c r="I208" s="9" t="s">
        <v>433</v>
      </c>
      <c r="J208" s="40" t="s">
        <v>1743</v>
      </c>
      <c r="K208" s="9" t="s">
        <v>41</v>
      </c>
      <c r="L208" s="9" t="s">
        <v>25</v>
      </c>
      <c r="M208" s="11"/>
      <c r="N208" s="11"/>
      <c r="O208" s="50">
        <v>10.125</v>
      </c>
      <c r="R208" s="9">
        <f>IFERROR(VLOOKUP(E208,Sheet6!$A$2:$B$500,2,FALSE),0)</f>
        <v>0</v>
      </c>
      <c r="S208" s="41">
        <f>IFERROR(VLOOKUP(E208,Sheet6!$C$2:$D$35017,2,FALSE),0)</f>
        <v>0</v>
      </c>
      <c r="U208" s="9">
        <f>IFERROR(VLOOKUP(E208,Sheet2!$AA$1:$AB$975,2,FALSE),0)</f>
        <v>0</v>
      </c>
      <c r="V208" s="41">
        <f>IFERROR(VLOOKUP(E208,Sheet2!$AC$1:$AD$975,2,FALSE),0)</f>
        <v>0</v>
      </c>
      <c r="W208" s="42">
        <f>IFERROR(VLOOKUP(E208,Sheet2!$AE$1:$AF$975,2,FALSE),0)</f>
        <v>0</v>
      </c>
      <c r="X208" s="43">
        <f>IFERROR(VLOOKUP(E208,Sheet2!$AG$1:$AH$975,2,FALSE),0)</f>
        <v>0</v>
      </c>
      <c r="Z208" s="60">
        <f>IFERROR(VLOOKUP(F208,Sheet2!$AA$1:$AB$975,2,FALSE),0)</f>
        <v>8</v>
      </c>
      <c r="AA208" s="64">
        <f>IFERROR(VLOOKUP(F208,Sheet2!$AC$1:$AD$975,2,FALSE),0)</f>
        <v>179.92</v>
      </c>
      <c r="AB208" s="65">
        <f>IFERROR(VLOOKUP(F208,Sheet2!$AE$2:$AF$6539,2,FALSE),0)</f>
        <v>44</v>
      </c>
      <c r="AC208" s="43">
        <f>IFERROR(VLOOKUP(F208,Sheet2!$AG$2:$AH$6539,2,FALSE),0)</f>
        <v>0.95920000000000005</v>
      </c>
      <c r="AE208" s="112">
        <v>42</v>
      </c>
      <c r="AF208" s="9">
        <v>74</v>
      </c>
      <c r="AG208" s="9">
        <v>0</v>
      </c>
      <c r="AH208" s="9">
        <v>0</v>
      </c>
      <c r="AI208" s="9">
        <v>74</v>
      </c>
      <c r="AJ208" s="9">
        <f t="shared" si="8"/>
        <v>116</v>
      </c>
      <c r="AK208" s="45">
        <f t="shared" si="9"/>
        <v>1174.5</v>
      </c>
      <c r="AL208" s="68">
        <v>0</v>
      </c>
      <c r="AM208" s="68">
        <v>0</v>
      </c>
    </row>
    <row r="209" spans="1:39" x14ac:dyDescent="0.2">
      <c r="A209" s="57" t="s">
        <v>2082</v>
      </c>
      <c r="B209" s="47">
        <v>46173</v>
      </c>
      <c r="C209" s="48"/>
      <c r="D209" s="48" t="s">
        <v>1416</v>
      </c>
      <c r="E209" s="49" t="s">
        <v>434</v>
      </c>
      <c r="F209" s="49" t="s">
        <v>435</v>
      </c>
      <c r="G209" s="47" t="e">
        <v>#N/A</v>
      </c>
      <c r="H209" s="47" t="s">
        <v>94</v>
      </c>
      <c r="I209" s="9" t="s">
        <v>433</v>
      </c>
      <c r="J209" s="40" t="s">
        <v>1743</v>
      </c>
      <c r="K209" s="9" t="s">
        <v>436</v>
      </c>
      <c r="L209" s="9" t="s">
        <v>25</v>
      </c>
      <c r="M209" s="11"/>
      <c r="N209" s="11"/>
      <c r="O209" s="50">
        <v>10.125</v>
      </c>
      <c r="R209" s="9">
        <f>IFERROR(VLOOKUP(E209,Sheet6!$A$2:$B$500,2,FALSE),0)</f>
        <v>0</v>
      </c>
      <c r="S209" s="41">
        <f>IFERROR(VLOOKUP(E209,Sheet6!$C$2:$D$35017,2,FALSE),0)</f>
        <v>0</v>
      </c>
      <c r="U209" s="9">
        <f>IFERROR(VLOOKUP(E209,Sheet2!$AA$1:$AB$975,2,FALSE),0)</f>
        <v>0</v>
      </c>
      <c r="V209" s="41">
        <f>IFERROR(VLOOKUP(E209,Sheet2!$AC$1:$AD$975,2,FALSE),0)</f>
        <v>0</v>
      </c>
      <c r="W209" s="42">
        <f>IFERROR(VLOOKUP(E209,Sheet2!$AE$1:$AF$975,2,FALSE),0)</f>
        <v>0</v>
      </c>
      <c r="X209" s="43">
        <f>IFERROR(VLOOKUP(E209,Sheet2!$AG$1:$AH$975,2,FALSE),0)</f>
        <v>0</v>
      </c>
      <c r="Z209" s="60">
        <f>IFERROR(VLOOKUP(F209,Sheet2!$AA$1:$AB$975,2,FALSE),0)</f>
        <v>1</v>
      </c>
      <c r="AA209" s="64">
        <f>IFERROR(VLOOKUP(F209,Sheet2!$AC$1:$AD$975,2,FALSE),0)</f>
        <v>22.49</v>
      </c>
      <c r="AB209" s="65">
        <f>IFERROR(VLOOKUP(F209,Sheet2!$AE$2:$AF$6539,2,FALSE),0)</f>
        <v>23</v>
      </c>
      <c r="AC209" s="43">
        <f>IFERROR(VLOOKUP(F209,Sheet2!$AG$2:$AH$6539,2,FALSE),0)</f>
        <v>0.89659999999999995</v>
      </c>
      <c r="AE209" s="112">
        <v>22</v>
      </c>
      <c r="AF209" s="9">
        <v>44</v>
      </c>
      <c r="AG209" s="9">
        <v>0</v>
      </c>
      <c r="AH209" s="9">
        <v>1</v>
      </c>
      <c r="AI209" s="9">
        <v>45</v>
      </c>
      <c r="AJ209" s="9">
        <f t="shared" si="8"/>
        <v>67</v>
      </c>
      <c r="AK209" s="45">
        <f t="shared" si="9"/>
        <v>678.375</v>
      </c>
      <c r="AL209" s="68">
        <v>0</v>
      </c>
      <c r="AM209" s="68">
        <v>0</v>
      </c>
    </row>
    <row r="210" spans="1:39" x14ac:dyDescent="0.2">
      <c r="A210" s="57" t="s">
        <v>2082</v>
      </c>
      <c r="B210" s="47">
        <v>46173</v>
      </c>
      <c r="C210" s="48"/>
      <c r="D210" s="48" t="s">
        <v>1417</v>
      </c>
      <c r="E210" s="49" t="s">
        <v>437</v>
      </c>
      <c r="F210" s="49" t="s">
        <v>438</v>
      </c>
      <c r="G210" s="47" t="e">
        <v>#N/A</v>
      </c>
      <c r="H210" s="47" t="s">
        <v>94</v>
      </c>
      <c r="I210" s="9" t="s">
        <v>433</v>
      </c>
      <c r="J210" s="40" t="s">
        <v>1743</v>
      </c>
      <c r="K210" s="9" t="s">
        <v>331</v>
      </c>
      <c r="L210" s="9" t="s">
        <v>25</v>
      </c>
      <c r="M210" s="11"/>
      <c r="N210" s="11"/>
      <c r="O210" s="50">
        <v>10.125</v>
      </c>
      <c r="R210" s="9">
        <f>IFERROR(VLOOKUP(E210,Sheet6!$A$2:$B$500,2,FALSE),0)</f>
        <v>0</v>
      </c>
      <c r="S210" s="41">
        <f>IFERROR(VLOOKUP(E210,Sheet6!$C$2:$D$35017,2,FALSE),0)</f>
        <v>0</v>
      </c>
      <c r="U210" s="9">
        <f>IFERROR(VLOOKUP(E210,Sheet2!$AA$1:$AB$975,2,FALSE),0)</f>
        <v>0</v>
      </c>
      <c r="V210" s="41">
        <f>IFERROR(VLOOKUP(E210,Sheet2!$AC$1:$AD$975,2,FALSE),0)</f>
        <v>0</v>
      </c>
      <c r="W210" s="42">
        <f>IFERROR(VLOOKUP(E210,Sheet2!$AE$1:$AF$975,2,FALSE),0)</f>
        <v>0</v>
      </c>
      <c r="X210" s="43">
        <f>IFERROR(VLOOKUP(E210,Sheet2!$AG$1:$AH$975,2,FALSE),0)</f>
        <v>0</v>
      </c>
      <c r="Z210" s="60">
        <f>IFERROR(VLOOKUP(F210,Sheet2!$AA$1:$AB$975,2,FALSE),0)</f>
        <v>4</v>
      </c>
      <c r="AA210" s="64">
        <f>IFERROR(VLOOKUP(F210,Sheet2!$AC$1:$AD$975,2,FALSE),0)</f>
        <v>89.96</v>
      </c>
      <c r="AB210" s="65">
        <f>IFERROR(VLOOKUP(F210,Sheet2!$AE$2:$AF$6539,2,FALSE),0)</f>
        <v>24</v>
      </c>
      <c r="AC210" s="43">
        <f>IFERROR(VLOOKUP(F210,Sheet2!$AG$2:$AH$6539,2,FALSE),0)</f>
        <v>1</v>
      </c>
      <c r="AE210" s="112">
        <v>0</v>
      </c>
      <c r="AF210" s="9">
        <v>35</v>
      </c>
      <c r="AG210" s="9">
        <v>0</v>
      </c>
      <c r="AH210" s="9">
        <v>0</v>
      </c>
      <c r="AI210" s="9">
        <v>35</v>
      </c>
      <c r="AJ210" s="9">
        <f t="shared" si="8"/>
        <v>35</v>
      </c>
      <c r="AK210" s="45">
        <f t="shared" si="9"/>
        <v>354.375</v>
      </c>
      <c r="AL210" s="68">
        <v>0</v>
      </c>
      <c r="AM210" s="68">
        <v>0</v>
      </c>
    </row>
    <row r="211" spans="1:39" x14ac:dyDescent="0.2">
      <c r="A211" s="57" t="s">
        <v>2082</v>
      </c>
      <c r="B211" s="47">
        <v>46173</v>
      </c>
      <c r="C211" s="108"/>
      <c r="D211" s="48" t="s">
        <v>1418</v>
      </c>
      <c r="E211" s="49" t="s">
        <v>439</v>
      </c>
      <c r="F211" s="49" t="s">
        <v>440</v>
      </c>
      <c r="G211" s="47" t="e">
        <v>#N/A</v>
      </c>
      <c r="H211" s="47" t="s">
        <v>22</v>
      </c>
      <c r="I211" s="9" t="s">
        <v>441</v>
      </c>
      <c r="J211" s="40" t="s">
        <v>1651</v>
      </c>
      <c r="K211" s="9" t="s">
        <v>41</v>
      </c>
      <c r="L211" s="9" t="s">
        <v>25</v>
      </c>
      <c r="M211" s="11"/>
      <c r="N211" s="11"/>
      <c r="O211" s="50">
        <v>9.4500000000000011</v>
      </c>
      <c r="R211" s="9">
        <f>IFERROR(VLOOKUP(E211,Sheet6!$A$2:$B$500,2,FALSE),0)</f>
        <v>0</v>
      </c>
      <c r="S211" s="41">
        <f>IFERROR(VLOOKUP(E211,Sheet6!$C$2:$D$35017,2,FALSE),0)</f>
        <v>0</v>
      </c>
      <c r="U211" s="9">
        <f>IFERROR(VLOOKUP(E211,Sheet2!$AA$1:$AB$975,2,FALSE),0)</f>
        <v>0</v>
      </c>
      <c r="V211" s="41">
        <f>IFERROR(VLOOKUP(E211,Sheet2!$AC$1:$AD$975,2,FALSE),0)</f>
        <v>0</v>
      </c>
      <c r="W211" s="42">
        <f>IFERROR(VLOOKUP(E211,Sheet2!$AE$1:$AF$975,2,FALSE),0)</f>
        <v>0</v>
      </c>
      <c r="X211" s="43">
        <f>IFERROR(VLOOKUP(E211,Sheet2!$AG$1:$AH$975,2,FALSE),0)</f>
        <v>0</v>
      </c>
      <c r="Z211" s="60">
        <f>IFERROR(VLOOKUP(F211,Sheet2!$AA$1:$AB$975,2,FALSE),0)</f>
        <v>0</v>
      </c>
      <c r="AA211" s="64">
        <f>IFERROR(VLOOKUP(F211,Sheet2!$AC$1:$AD$975,2,FALSE),0)</f>
        <v>0</v>
      </c>
      <c r="AB211" s="65">
        <f>IFERROR(VLOOKUP(F211,Sheet2!$AE$2:$AF$6539,2,FALSE),0)</f>
        <v>0</v>
      </c>
      <c r="AC211" s="43">
        <f>IFERROR(VLOOKUP(F211,Sheet2!$AG$2:$AH$6539,2,FALSE),0)</f>
        <v>0</v>
      </c>
      <c r="AE211" s="112">
        <v>0</v>
      </c>
      <c r="AF211" s="9">
        <v>0</v>
      </c>
      <c r="AG211" s="9">
        <v>0</v>
      </c>
      <c r="AH211" s="9">
        <v>0</v>
      </c>
      <c r="AI211" s="9">
        <v>0</v>
      </c>
      <c r="AJ211" s="9">
        <f t="shared" si="8"/>
        <v>0</v>
      </c>
      <c r="AK211" s="45">
        <f t="shared" si="9"/>
        <v>0</v>
      </c>
      <c r="AL211" s="68">
        <v>0</v>
      </c>
      <c r="AM211" s="68">
        <v>0</v>
      </c>
    </row>
    <row r="212" spans="1:39" x14ac:dyDescent="0.2">
      <c r="A212" s="57" t="s">
        <v>2082</v>
      </c>
      <c r="B212" s="47">
        <v>46173</v>
      </c>
      <c r="C212" s="108"/>
      <c r="D212" s="48" t="s">
        <v>1419</v>
      </c>
      <c r="E212" s="49" t="s">
        <v>442</v>
      </c>
      <c r="F212" s="49" t="s">
        <v>443</v>
      </c>
      <c r="G212" s="47" t="e">
        <v>#N/A</v>
      </c>
      <c r="H212" s="47" t="s">
        <v>22</v>
      </c>
      <c r="I212" s="9" t="s">
        <v>441</v>
      </c>
      <c r="J212" s="40" t="s">
        <v>1651</v>
      </c>
      <c r="K212" s="9" t="s">
        <v>444</v>
      </c>
      <c r="L212" s="9" t="s">
        <v>25</v>
      </c>
      <c r="M212" s="11"/>
      <c r="N212" s="11"/>
      <c r="O212" s="50">
        <v>9.4500000000000011</v>
      </c>
      <c r="R212" s="9">
        <f>IFERROR(VLOOKUP(E212,Sheet6!$A$2:$B$500,2,FALSE),0)</f>
        <v>0</v>
      </c>
      <c r="S212" s="41">
        <f>IFERROR(VLOOKUP(E212,Sheet6!$C$2:$D$35017,2,FALSE),0)</f>
        <v>0</v>
      </c>
      <c r="U212" s="9">
        <f>IFERROR(VLOOKUP(E212,Sheet2!$AA$1:$AB$975,2,FALSE),0)</f>
        <v>0</v>
      </c>
      <c r="V212" s="41">
        <f>IFERROR(VLOOKUP(E212,Sheet2!$AC$1:$AD$975,2,FALSE),0)</f>
        <v>0</v>
      </c>
      <c r="W212" s="42">
        <f>IFERROR(VLOOKUP(E212,Sheet2!$AE$1:$AF$975,2,FALSE),0)</f>
        <v>0</v>
      </c>
      <c r="X212" s="43">
        <f>IFERROR(VLOOKUP(E212,Sheet2!$AG$1:$AH$975,2,FALSE),0)</f>
        <v>0</v>
      </c>
      <c r="Z212" s="60">
        <f>IFERROR(VLOOKUP(F212,Sheet2!$AA$1:$AB$975,2,FALSE),0)</f>
        <v>0</v>
      </c>
      <c r="AA212" s="64">
        <f>IFERROR(VLOOKUP(F212,Sheet2!$AC$1:$AD$975,2,FALSE),0)</f>
        <v>0</v>
      </c>
      <c r="AB212" s="65">
        <f>IFERROR(VLOOKUP(F212,Sheet2!$AE$2:$AF$6539,2,FALSE),0)</f>
        <v>0</v>
      </c>
      <c r="AC212" s="43">
        <f>IFERROR(VLOOKUP(F212,Sheet2!$AG$2:$AH$6539,2,FALSE),0)</f>
        <v>0</v>
      </c>
      <c r="AE212" s="112">
        <v>0</v>
      </c>
      <c r="AF212" s="9">
        <v>0</v>
      </c>
      <c r="AG212" s="9">
        <v>0</v>
      </c>
      <c r="AH212" s="9">
        <v>0</v>
      </c>
      <c r="AI212" s="9">
        <v>0</v>
      </c>
      <c r="AJ212" s="9">
        <f t="shared" si="8"/>
        <v>0</v>
      </c>
      <c r="AK212" s="45">
        <f t="shared" si="9"/>
        <v>0</v>
      </c>
      <c r="AL212" s="68">
        <v>0</v>
      </c>
      <c r="AM212" s="68">
        <v>0</v>
      </c>
    </row>
    <row r="213" spans="1:39" x14ac:dyDescent="0.2">
      <c r="A213" s="57" t="s">
        <v>2082</v>
      </c>
      <c r="B213" s="47">
        <v>46173</v>
      </c>
      <c r="C213" s="108"/>
      <c r="D213" s="48" t="s">
        <v>1420</v>
      </c>
      <c r="E213" s="49" t="s">
        <v>445</v>
      </c>
      <c r="F213" s="49" t="s">
        <v>446</v>
      </c>
      <c r="G213" s="47" t="e">
        <v>#N/A</v>
      </c>
      <c r="H213" s="47" t="s">
        <v>22</v>
      </c>
      <c r="I213" s="9" t="s">
        <v>441</v>
      </c>
      <c r="J213" s="40" t="s">
        <v>1651</v>
      </c>
      <c r="K213" s="9" t="s">
        <v>331</v>
      </c>
      <c r="L213" s="9" t="s">
        <v>25</v>
      </c>
      <c r="M213" s="11"/>
      <c r="N213" s="11"/>
      <c r="O213" s="50">
        <v>9.4500000000000011</v>
      </c>
      <c r="R213" s="9">
        <f>IFERROR(VLOOKUP(E213,Sheet6!$A$2:$B$500,2,FALSE),0)</f>
        <v>0</v>
      </c>
      <c r="S213" s="41">
        <f>IFERROR(VLOOKUP(E213,Sheet6!$C$2:$D$35017,2,FALSE),0)</f>
        <v>0</v>
      </c>
      <c r="U213" s="9">
        <f>IFERROR(VLOOKUP(E213,Sheet2!$AA$1:$AB$975,2,FALSE),0)</f>
        <v>1</v>
      </c>
      <c r="V213" s="41">
        <f>IFERROR(VLOOKUP(E213,Sheet2!$AC$1:$AD$975,2,FALSE),0)</f>
        <v>20.99</v>
      </c>
      <c r="W213" s="42">
        <f>IFERROR(VLOOKUP(E213,Sheet2!$AE$1:$AF$975,2,FALSE),0)</f>
        <v>45</v>
      </c>
      <c r="X213" s="43">
        <f>IFERROR(VLOOKUP(E213,Sheet2!$AG$1:$AH$975,2,FALSE),0)</f>
        <v>0.95240000000000002</v>
      </c>
      <c r="Z213" s="60">
        <f>IFERROR(VLOOKUP(F213,Sheet2!$AA$1:$AB$975,2,FALSE),0)</f>
        <v>0</v>
      </c>
      <c r="AA213" s="64">
        <f>IFERROR(VLOOKUP(F213,Sheet2!$AC$1:$AD$975,2,FALSE),0)</f>
        <v>0</v>
      </c>
      <c r="AB213" s="65">
        <f>IFERROR(VLOOKUP(F213,Sheet2!$AE$2:$AF$6539,2,FALSE),0)</f>
        <v>0</v>
      </c>
      <c r="AC213" s="43">
        <f>IFERROR(VLOOKUP(F213,Sheet2!$AG$2:$AH$6539,2,FALSE),0)</f>
        <v>0</v>
      </c>
      <c r="AE213" s="112">
        <v>3</v>
      </c>
      <c r="AF213" s="9">
        <v>0</v>
      </c>
      <c r="AG213" s="9">
        <v>0</v>
      </c>
      <c r="AH213" s="9">
        <v>0</v>
      </c>
      <c r="AI213" s="9">
        <v>0</v>
      </c>
      <c r="AJ213" s="9">
        <f t="shared" si="8"/>
        <v>3</v>
      </c>
      <c r="AK213" s="45">
        <f t="shared" si="9"/>
        <v>28.35</v>
      </c>
      <c r="AL213" s="68">
        <v>0</v>
      </c>
      <c r="AM213" s="68">
        <v>0</v>
      </c>
    </row>
    <row r="214" spans="1:39" x14ac:dyDescent="0.2">
      <c r="A214" s="57" t="s">
        <v>2082</v>
      </c>
      <c r="B214" s="47">
        <v>46173</v>
      </c>
      <c r="C214" s="48"/>
      <c r="D214" s="48" t="s">
        <v>1421</v>
      </c>
      <c r="E214" s="49" t="s">
        <v>447</v>
      </c>
      <c r="F214" s="49" t="s">
        <v>448</v>
      </c>
      <c r="G214" s="47" t="s">
        <v>969</v>
      </c>
      <c r="H214" s="47" t="s">
        <v>22</v>
      </c>
      <c r="I214" s="9" t="s">
        <v>449</v>
      </c>
      <c r="J214" s="40" t="s">
        <v>1825</v>
      </c>
      <c r="K214" s="9" t="s">
        <v>41</v>
      </c>
      <c r="L214" s="9" t="s">
        <v>25</v>
      </c>
      <c r="M214" s="11"/>
      <c r="N214" s="11"/>
      <c r="O214" s="50">
        <v>7.2</v>
      </c>
      <c r="R214" s="9">
        <f>IFERROR(VLOOKUP(E214,Sheet6!$A$2:$B$500,2,FALSE),0)</f>
        <v>0</v>
      </c>
      <c r="S214" s="41">
        <f>IFERROR(VLOOKUP(E214,Sheet6!$C$2:$D$35017,2,FALSE),0)</f>
        <v>0</v>
      </c>
      <c r="U214" s="9">
        <f>IFERROR(VLOOKUP(E214,Sheet2!$AA$1:$AB$975,2,FALSE),0)</f>
        <v>1</v>
      </c>
      <c r="V214" s="41">
        <f>IFERROR(VLOOKUP(E214,Sheet2!$AC$1:$AD$975,2,FALSE),0)</f>
        <v>16</v>
      </c>
      <c r="W214" s="42">
        <f>IFERROR(VLOOKUP(E214,Sheet2!$AE$1:$AF$975,2,FALSE),0)</f>
        <v>31</v>
      </c>
      <c r="X214" s="43">
        <f>IFERROR(VLOOKUP(E214,Sheet2!$AG$1:$AH$975,2,FALSE),0)</f>
        <v>1</v>
      </c>
      <c r="Z214" s="60">
        <f>IFERROR(VLOOKUP(F214,Sheet2!$AA$1:$AB$975,2,FALSE),0)</f>
        <v>0</v>
      </c>
      <c r="AA214" s="64">
        <f>IFERROR(VLOOKUP(F214,Sheet2!$AC$1:$AD$975,2,FALSE),0)</f>
        <v>0</v>
      </c>
      <c r="AB214" s="65">
        <f>IFERROR(VLOOKUP(F214,Sheet2!$AE$2:$AF$6539,2,FALSE),0)</f>
        <v>0</v>
      </c>
      <c r="AC214" s="43">
        <f>IFERROR(VLOOKUP(F214,Sheet2!$AG$2:$AH$6539,2,FALSE),0)</f>
        <v>0</v>
      </c>
      <c r="AE214" s="112">
        <v>7</v>
      </c>
      <c r="AF214" s="9">
        <v>0</v>
      </c>
      <c r="AG214" s="9">
        <v>0</v>
      </c>
      <c r="AH214" s="9">
        <v>0</v>
      </c>
      <c r="AI214" s="9">
        <v>0</v>
      </c>
      <c r="AJ214" s="9">
        <f t="shared" si="8"/>
        <v>7</v>
      </c>
      <c r="AK214" s="45">
        <f t="shared" si="9"/>
        <v>50.4</v>
      </c>
      <c r="AL214" s="68">
        <v>0</v>
      </c>
      <c r="AM214" s="68">
        <v>12</v>
      </c>
    </row>
    <row r="215" spans="1:39" x14ac:dyDescent="0.2">
      <c r="A215" s="57" t="s">
        <v>2082</v>
      </c>
      <c r="B215" s="47">
        <v>46173</v>
      </c>
      <c r="C215" s="48"/>
      <c r="D215" s="48" t="s">
        <v>1422</v>
      </c>
      <c r="E215" s="49" t="s">
        <v>450</v>
      </c>
      <c r="F215" s="49" t="s">
        <v>451</v>
      </c>
      <c r="G215" s="47" t="s">
        <v>970</v>
      </c>
      <c r="H215" s="47" t="s">
        <v>22</v>
      </c>
      <c r="I215" s="9" t="s">
        <v>449</v>
      </c>
      <c r="J215" s="40" t="s">
        <v>1825</v>
      </c>
      <c r="K215" s="9" t="s">
        <v>452</v>
      </c>
      <c r="L215" s="9" t="s">
        <v>25</v>
      </c>
      <c r="M215" s="11"/>
      <c r="N215" s="11"/>
      <c r="O215" s="50">
        <v>7.2</v>
      </c>
      <c r="R215" s="9">
        <f>IFERROR(VLOOKUP(E215,Sheet6!$A$2:$B$500,2,FALSE),0)</f>
        <v>0</v>
      </c>
      <c r="S215" s="41">
        <f>IFERROR(VLOOKUP(E215,Sheet6!$C$2:$D$35017,2,FALSE),0)</f>
        <v>0</v>
      </c>
      <c r="U215" s="9">
        <f>IFERROR(VLOOKUP(E215,Sheet2!$AA$1:$AB$975,2,FALSE),0)</f>
        <v>0</v>
      </c>
      <c r="V215" s="41">
        <f>IFERROR(VLOOKUP(E215,Sheet2!$AC$1:$AD$975,2,FALSE),0)</f>
        <v>0</v>
      </c>
      <c r="W215" s="42">
        <f>IFERROR(VLOOKUP(E215,Sheet2!$AE$1:$AF$975,2,FALSE),0)</f>
        <v>0</v>
      </c>
      <c r="X215" s="43">
        <f>IFERROR(VLOOKUP(E215,Sheet2!$AG$1:$AH$975,2,FALSE),0)</f>
        <v>0</v>
      </c>
      <c r="Z215" s="60">
        <f>IFERROR(VLOOKUP(F215,Sheet2!$AA$1:$AB$975,2,FALSE),0)</f>
        <v>0</v>
      </c>
      <c r="AA215" s="64">
        <f>IFERROR(VLOOKUP(F215,Sheet2!$AC$1:$AD$975,2,FALSE),0)</f>
        <v>0</v>
      </c>
      <c r="AB215" s="65">
        <f>IFERROR(VLOOKUP(F215,Sheet2!$AE$2:$AF$6539,2,FALSE),0)</f>
        <v>0</v>
      </c>
      <c r="AC215" s="43">
        <f>IFERROR(VLOOKUP(F215,Sheet2!$AG$2:$AH$6539,2,FALSE),0)</f>
        <v>0</v>
      </c>
      <c r="AE215" s="112">
        <v>11</v>
      </c>
      <c r="AF215" s="9">
        <v>0</v>
      </c>
      <c r="AG215" s="9">
        <v>0</v>
      </c>
      <c r="AH215" s="9">
        <v>0</v>
      </c>
      <c r="AI215" s="9">
        <v>0</v>
      </c>
      <c r="AJ215" s="9">
        <f t="shared" si="8"/>
        <v>11</v>
      </c>
      <c r="AK215" s="45">
        <f t="shared" si="9"/>
        <v>79.2</v>
      </c>
      <c r="AL215" s="68">
        <v>0</v>
      </c>
      <c r="AM215" s="68">
        <v>12</v>
      </c>
    </row>
    <row r="216" spans="1:39" x14ac:dyDescent="0.2">
      <c r="A216" s="57" t="s">
        <v>2082</v>
      </c>
      <c r="B216" s="47">
        <v>46173</v>
      </c>
      <c r="C216" s="48"/>
      <c r="D216" s="48" t="s">
        <v>1423</v>
      </c>
      <c r="E216" s="49" t="s">
        <v>453</v>
      </c>
      <c r="F216" s="49" t="s">
        <v>454</v>
      </c>
      <c r="G216" s="47" t="e">
        <v>#N/A</v>
      </c>
      <c r="H216" s="47" t="s">
        <v>22</v>
      </c>
      <c r="I216" s="9" t="s">
        <v>449</v>
      </c>
      <c r="J216" s="40" t="s">
        <v>1825</v>
      </c>
      <c r="K216" s="9" t="s">
        <v>455</v>
      </c>
      <c r="L216" s="9" t="s">
        <v>25</v>
      </c>
      <c r="M216" s="11"/>
      <c r="N216" s="11"/>
      <c r="O216" s="50">
        <v>7.2</v>
      </c>
      <c r="R216" s="9">
        <f>IFERROR(VLOOKUP(E216,Sheet6!$A$2:$B$500,2,FALSE),0)</f>
        <v>1</v>
      </c>
      <c r="S216" s="41">
        <f>IFERROR(VLOOKUP(E216,Sheet6!$C$2:$D$35017,2,FALSE),0)</f>
        <v>16</v>
      </c>
      <c r="U216" s="9">
        <f>IFERROR(VLOOKUP(E216,Sheet2!$AA$1:$AB$975,2,FALSE),0)</f>
        <v>0</v>
      </c>
      <c r="V216" s="41">
        <f>IFERROR(VLOOKUP(E216,Sheet2!$AC$1:$AD$975,2,FALSE),0)</f>
        <v>0</v>
      </c>
      <c r="W216" s="42">
        <f>IFERROR(VLOOKUP(E216,Sheet2!$AE$1:$AF$975,2,FALSE),0)</f>
        <v>0</v>
      </c>
      <c r="X216" s="43">
        <f>IFERROR(VLOOKUP(E216,Sheet2!$AG$1:$AH$975,2,FALSE),0)</f>
        <v>0</v>
      </c>
      <c r="Z216" s="60">
        <f>IFERROR(VLOOKUP(F216,Sheet2!$AA$1:$AB$975,2,FALSE),0)</f>
        <v>0</v>
      </c>
      <c r="AA216" s="64">
        <f>IFERROR(VLOOKUP(F216,Sheet2!$AC$1:$AD$975,2,FALSE),0)</f>
        <v>0</v>
      </c>
      <c r="AB216" s="65">
        <f>IFERROR(VLOOKUP(F216,Sheet2!$AE$2:$AF$6539,2,FALSE),0)</f>
        <v>0</v>
      </c>
      <c r="AC216" s="43">
        <f>IFERROR(VLOOKUP(F216,Sheet2!$AG$2:$AH$6539,2,FALSE),0)</f>
        <v>0</v>
      </c>
      <c r="AE216" s="112">
        <v>14</v>
      </c>
      <c r="AF216" s="9">
        <v>0</v>
      </c>
      <c r="AG216" s="9">
        <v>0</v>
      </c>
      <c r="AH216" s="9">
        <v>0</v>
      </c>
      <c r="AI216" s="9">
        <v>0</v>
      </c>
      <c r="AJ216" s="9">
        <f t="shared" si="8"/>
        <v>14</v>
      </c>
      <c r="AK216" s="45">
        <f t="shared" si="9"/>
        <v>100.8</v>
      </c>
      <c r="AL216" s="68">
        <v>0</v>
      </c>
      <c r="AM216" s="68">
        <v>0</v>
      </c>
    </row>
    <row r="217" spans="1:39" x14ac:dyDescent="0.2">
      <c r="A217" s="57" t="s">
        <v>2082</v>
      </c>
      <c r="B217" s="47">
        <v>46173</v>
      </c>
      <c r="C217" s="48"/>
      <c r="D217" s="48" t="s">
        <v>1424</v>
      </c>
      <c r="E217" s="49" t="s">
        <v>456</v>
      </c>
      <c r="F217" s="49" t="s">
        <v>457</v>
      </c>
      <c r="G217" s="47" t="e">
        <v>#N/A</v>
      </c>
      <c r="H217" s="47" t="s">
        <v>94</v>
      </c>
      <c r="I217" s="9" t="s">
        <v>449</v>
      </c>
      <c r="J217" s="40" t="s">
        <v>1825</v>
      </c>
      <c r="K217" s="9" t="s">
        <v>458</v>
      </c>
      <c r="L217" s="9" t="s">
        <v>25</v>
      </c>
      <c r="M217" s="11"/>
      <c r="N217" s="11"/>
      <c r="O217" s="50">
        <v>7.2</v>
      </c>
      <c r="R217" s="9">
        <f>IFERROR(VLOOKUP(E217,Sheet6!$A$2:$B$500,2,FALSE),0)</f>
        <v>0</v>
      </c>
      <c r="S217" s="41">
        <f>IFERROR(VLOOKUP(E217,Sheet6!$C$2:$D$35017,2,FALSE),0)</f>
        <v>0</v>
      </c>
      <c r="U217" s="9">
        <f>IFERROR(VLOOKUP(E217,Sheet2!$AA$1:$AB$975,2,FALSE),0)</f>
        <v>0</v>
      </c>
      <c r="V217" s="41">
        <f>IFERROR(VLOOKUP(E217,Sheet2!$AC$1:$AD$975,2,FALSE),0)</f>
        <v>0</v>
      </c>
      <c r="W217" s="42">
        <f>IFERROR(VLOOKUP(E217,Sheet2!$AE$1:$AF$975,2,FALSE),0)</f>
        <v>0</v>
      </c>
      <c r="X217" s="43">
        <f>IFERROR(VLOOKUP(E217,Sheet2!$AG$1:$AH$975,2,FALSE),0)</f>
        <v>0</v>
      </c>
      <c r="Z217" s="60">
        <f>IFERROR(VLOOKUP(F217,Sheet2!$AA$1:$AB$975,2,FALSE),0)</f>
        <v>0</v>
      </c>
      <c r="AA217" s="64">
        <f>IFERROR(VLOOKUP(F217,Sheet2!$AC$1:$AD$975,2,FALSE),0)</f>
        <v>0</v>
      </c>
      <c r="AB217" s="65">
        <f>IFERROR(VLOOKUP(F217,Sheet2!$AE$2:$AF$6539,2,FALSE),0)</f>
        <v>0</v>
      </c>
      <c r="AC217" s="43">
        <f>IFERROR(VLOOKUP(F217,Sheet2!$AG$2:$AH$6539,2,FALSE),0)</f>
        <v>0</v>
      </c>
      <c r="AE217" s="112">
        <v>0</v>
      </c>
      <c r="AF217" s="9">
        <v>0</v>
      </c>
      <c r="AG217" s="9">
        <v>0</v>
      </c>
      <c r="AH217" s="9">
        <v>0</v>
      </c>
      <c r="AI217" s="9">
        <v>0</v>
      </c>
      <c r="AJ217" s="9">
        <f t="shared" si="8"/>
        <v>0</v>
      </c>
      <c r="AK217" s="45">
        <f t="shared" si="9"/>
        <v>0</v>
      </c>
      <c r="AL217" s="68">
        <v>0</v>
      </c>
      <c r="AM217" s="68">
        <v>0</v>
      </c>
    </row>
    <row r="218" spans="1:39" x14ac:dyDescent="0.2">
      <c r="A218" s="57" t="s">
        <v>2082</v>
      </c>
      <c r="B218" s="47">
        <v>46173</v>
      </c>
      <c r="C218" s="48"/>
      <c r="D218" s="48" t="s">
        <v>1425</v>
      </c>
      <c r="E218" s="49" t="s">
        <v>459</v>
      </c>
      <c r="F218" s="49" t="s">
        <v>460</v>
      </c>
      <c r="G218" s="47" t="e">
        <v>#N/A</v>
      </c>
      <c r="H218" s="47" t="s">
        <v>94</v>
      </c>
      <c r="I218" s="9" t="s">
        <v>449</v>
      </c>
      <c r="J218" s="40" t="s">
        <v>1825</v>
      </c>
      <c r="K218" s="9" t="s">
        <v>461</v>
      </c>
      <c r="L218" s="9" t="s">
        <v>25</v>
      </c>
      <c r="M218" s="11"/>
      <c r="N218" s="11"/>
      <c r="O218" s="50">
        <v>7.2</v>
      </c>
      <c r="R218" s="9">
        <f>IFERROR(VLOOKUP(E218,Sheet6!$A$2:$B$500,2,FALSE),0)</f>
        <v>0</v>
      </c>
      <c r="S218" s="41">
        <f>IFERROR(VLOOKUP(E218,Sheet6!$C$2:$D$35017,2,FALSE),0)</f>
        <v>0</v>
      </c>
      <c r="U218" s="9">
        <f>IFERROR(VLOOKUP(E218,Sheet2!$AA$1:$AB$975,2,FALSE),0)</f>
        <v>0</v>
      </c>
      <c r="V218" s="41">
        <f>IFERROR(VLOOKUP(E218,Sheet2!$AC$1:$AD$975,2,FALSE),0)</f>
        <v>0</v>
      </c>
      <c r="W218" s="42">
        <f>IFERROR(VLOOKUP(E218,Sheet2!$AE$1:$AF$975,2,FALSE),0)</f>
        <v>0</v>
      </c>
      <c r="X218" s="43">
        <f>IFERROR(VLOOKUP(E218,Sheet2!$AG$1:$AH$975,2,FALSE),0)</f>
        <v>0</v>
      </c>
      <c r="Z218" s="60">
        <f>IFERROR(VLOOKUP(F218,Sheet2!$AA$1:$AB$975,2,FALSE),0)</f>
        <v>0</v>
      </c>
      <c r="AA218" s="64">
        <f>IFERROR(VLOOKUP(F218,Sheet2!$AC$1:$AD$975,2,FALSE),0)</f>
        <v>0</v>
      </c>
      <c r="AB218" s="65">
        <f>IFERROR(VLOOKUP(F218,Sheet2!$AE$2:$AF$6539,2,FALSE),0)</f>
        <v>0</v>
      </c>
      <c r="AC218" s="43">
        <f>IFERROR(VLOOKUP(F218,Sheet2!$AG$2:$AH$6539,2,FALSE),0)</f>
        <v>0</v>
      </c>
      <c r="AE218" s="112">
        <v>7</v>
      </c>
      <c r="AF218" s="9">
        <v>0</v>
      </c>
      <c r="AG218" s="9">
        <v>0</v>
      </c>
      <c r="AH218" s="9">
        <v>0</v>
      </c>
      <c r="AI218" s="9">
        <v>0</v>
      </c>
      <c r="AJ218" s="9">
        <f t="shared" si="8"/>
        <v>7</v>
      </c>
      <c r="AK218" s="45">
        <f t="shared" si="9"/>
        <v>50.4</v>
      </c>
      <c r="AL218" s="68">
        <v>0</v>
      </c>
      <c r="AM218" s="68">
        <v>0</v>
      </c>
    </row>
    <row r="219" spans="1:39" x14ac:dyDescent="0.2">
      <c r="A219" s="57" t="s">
        <v>2082</v>
      </c>
      <c r="B219" s="47">
        <v>46173</v>
      </c>
      <c r="C219" s="48"/>
      <c r="D219" s="48" t="s">
        <v>1426</v>
      </c>
      <c r="E219" s="49" t="s">
        <v>462</v>
      </c>
      <c r="F219" s="49" t="s">
        <v>463</v>
      </c>
      <c r="G219" s="47" t="e">
        <v>#N/A</v>
      </c>
      <c r="H219" s="47" t="s">
        <v>94</v>
      </c>
      <c r="I219" s="9" t="s">
        <v>449</v>
      </c>
      <c r="J219" s="40" t="s">
        <v>1825</v>
      </c>
      <c r="K219" s="9" t="s">
        <v>187</v>
      </c>
      <c r="L219" s="9" t="s">
        <v>25</v>
      </c>
      <c r="M219" s="11"/>
      <c r="N219" s="11"/>
      <c r="O219" s="50">
        <v>7.2</v>
      </c>
      <c r="R219" s="9">
        <f>IFERROR(VLOOKUP(E219,Sheet6!$A$2:$B$500,2,FALSE),0)</f>
        <v>0</v>
      </c>
      <c r="S219" s="41">
        <f>IFERROR(VLOOKUP(E219,Sheet6!$C$2:$D$35017,2,FALSE),0)</f>
        <v>0</v>
      </c>
      <c r="U219" s="9">
        <f>IFERROR(VLOOKUP(E219,Sheet2!$AA$1:$AB$975,2,FALSE),0)</f>
        <v>0</v>
      </c>
      <c r="V219" s="41">
        <f>IFERROR(VLOOKUP(E219,Sheet2!$AC$1:$AD$975,2,FALSE),0)</f>
        <v>0</v>
      </c>
      <c r="W219" s="42">
        <f>IFERROR(VLOOKUP(E219,Sheet2!$AE$1:$AF$975,2,FALSE),0)</f>
        <v>0</v>
      </c>
      <c r="X219" s="43">
        <f>IFERROR(VLOOKUP(E219,Sheet2!$AG$1:$AH$975,2,FALSE),0)</f>
        <v>0</v>
      </c>
      <c r="Z219" s="60">
        <f>IFERROR(VLOOKUP(F219,Sheet2!$AA$1:$AB$975,2,FALSE),0)</f>
        <v>0</v>
      </c>
      <c r="AA219" s="64">
        <f>IFERROR(VLOOKUP(F219,Sheet2!$AC$1:$AD$975,2,FALSE),0)</f>
        <v>0</v>
      </c>
      <c r="AB219" s="65">
        <f>IFERROR(VLOOKUP(F219,Sheet2!$AE$2:$AF$6539,2,FALSE),0)</f>
        <v>0</v>
      </c>
      <c r="AC219" s="43">
        <f>IFERROR(VLOOKUP(F219,Sheet2!$AG$2:$AH$6539,2,FALSE),0)</f>
        <v>0</v>
      </c>
      <c r="AE219" s="112">
        <v>15</v>
      </c>
      <c r="AF219" s="9">
        <v>0</v>
      </c>
      <c r="AG219" s="9">
        <v>0</v>
      </c>
      <c r="AH219" s="9">
        <v>0</v>
      </c>
      <c r="AI219" s="9">
        <v>0</v>
      </c>
      <c r="AJ219" s="9">
        <f t="shared" si="8"/>
        <v>15</v>
      </c>
      <c r="AK219" s="45">
        <f t="shared" si="9"/>
        <v>108</v>
      </c>
      <c r="AL219" s="68">
        <v>0</v>
      </c>
      <c r="AM219" s="68">
        <v>0</v>
      </c>
    </row>
    <row r="220" spans="1:39" x14ac:dyDescent="0.2">
      <c r="A220" s="57" t="s">
        <v>2082</v>
      </c>
      <c r="B220" s="47">
        <v>46173</v>
      </c>
      <c r="C220" s="48"/>
      <c r="D220" s="48" t="s">
        <v>1427</v>
      </c>
      <c r="E220" s="49" t="s">
        <v>464</v>
      </c>
      <c r="F220" s="49" t="s">
        <v>465</v>
      </c>
      <c r="G220" s="47" t="e">
        <v>#N/A</v>
      </c>
      <c r="H220" s="47" t="s">
        <v>94</v>
      </c>
      <c r="I220" s="9" t="s">
        <v>449</v>
      </c>
      <c r="J220" s="40" t="s">
        <v>1825</v>
      </c>
      <c r="K220" s="9" t="s">
        <v>466</v>
      </c>
      <c r="L220" s="9" t="s">
        <v>25</v>
      </c>
      <c r="M220" s="11"/>
      <c r="N220" s="11"/>
      <c r="O220" s="50">
        <v>7.2</v>
      </c>
      <c r="R220" s="9">
        <f>IFERROR(VLOOKUP(E220,Sheet6!$A$2:$B$500,2,FALSE),0)</f>
        <v>0</v>
      </c>
      <c r="S220" s="41">
        <f>IFERROR(VLOOKUP(E220,Sheet6!$C$2:$D$35017,2,FALSE),0)</f>
        <v>0</v>
      </c>
      <c r="U220" s="9">
        <f>IFERROR(VLOOKUP(E220,Sheet2!$AA$1:$AB$975,2,FALSE),0)</f>
        <v>0</v>
      </c>
      <c r="V220" s="41">
        <f>IFERROR(VLOOKUP(E220,Sheet2!$AC$1:$AD$975,2,FALSE),0)</f>
        <v>0</v>
      </c>
      <c r="W220" s="42">
        <f>IFERROR(VLOOKUP(E220,Sheet2!$AE$1:$AF$975,2,FALSE),0)</f>
        <v>0</v>
      </c>
      <c r="X220" s="43">
        <f>IFERROR(VLOOKUP(E220,Sheet2!$AG$1:$AH$975,2,FALSE),0)</f>
        <v>0</v>
      </c>
      <c r="Z220" s="60">
        <f>IFERROR(VLOOKUP(F220,Sheet2!$AA$1:$AB$975,2,FALSE),0)</f>
        <v>0</v>
      </c>
      <c r="AA220" s="64">
        <f>IFERROR(VLOOKUP(F220,Sheet2!$AC$1:$AD$975,2,FALSE),0)</f>
        <v>0</v>
      </c>
      <c r="AB220" s="65">
        <f>IFERROR(VLOOKUP(F220,Sheet2!$AE$2:$AF$6539,2,FALSE),0)</f>
        <v>0</v>
      </c>
      <c r="AC220" s="43">
        <f>IFERROR(VLOOKUP(F220,Sheet2!$AG$2:$AH$6539,2,FALSE),0)</f>
        <v>0</v>
      </c>
      <c r="AE220" s="112">
        <v>0</v>
      </c>
      <c r="AF220" s="9">
        <v>0</v>
      </c>
      <c r="AG220" s="9">
        <v>0</v>
      </c>
      <c r="AH220" s="9">
        <v>0</v>
      </c>
      <c r="AI220" s="9">
        <v>0</v>
      </c>
      <c r="AJ220" s="9">
        <f t="shared" si="8"/>
        <v>0</v>
      </c>
      <c r="AK220" s="45">
        <f t="shared" si="9"/>
        <v>0</v>
      </c>
      <c r="AL220" s="68">
        <v>0</v>
      </c>
      <c r="AM220" s="68">
        <v>0</v>
      </c>
    </row>
    <row r="221" spans="1:39" x14ac:dyDescent="0.2">
      <c r="A221" s="57" t="s">
        <v>2082</v>
      </c>
      <c r="B221" s="47">
        <v>46173</v>
      </c>
      <c r="C221" s="48"/>
      <c r="D221" s="48" t="s">
        <v>1428</v>
      </c>
      <c r="E221" s="49" t="s">
        <v>467</v>
      </c>
      <c r="F221" s="49" t="s">
        <v>468</v>
      </c>
      <c r="G221" s="47" t="e">
        <v>#N/A</v>
      </c>
      <c r="H221" s="47" t="s">
        <v>94</v>
      </c>
      <c r="I221" s="9" t="s">
        <v>469</v>
      </c>
      <c r="J221" s="40" t="s">
        <v>1828</v>
      </c>
      <c r="K221" s="9" t="s">
        <v>41</v>
      </c>
      <c r="L221" s="9" t="s">
        <v>25</v>
      </c>
      <c r="M221" s="11"/>
      <c r="N221" s="11"/>
      <c r="O221" s="50">
        <v>6.75</v>
      </c>
      <c r="R221" s="9">
        <f>IFERROR(VLOOKUP(E221,Sheet6!$A$2:$B$500,2,FALSE),0)</f>
        <v>0</v>
      </c>
      <c r="S221" s="41">
        <f>IFERROR(VLOOKUP(E221,Sheet6!$C$2:$D$35017,2,FALSE),0)</f>
        <v>0</v>
      </c>
      <c r="U221" s="9">
        <f>IFERROR(VLOOKUP(E221,Sheet2!$AA$1:$AB$975,2,FALSE),0)</f>
        <v>0</v>
      </c>
      <c r="V221" s="41">
        <f>IFERROR(VLOOKUP(E221,Sheet2!$AC$1:$AD$975,2,FALSE),0)</f>
        <v>0</v>
      </c>
      <c r="W221" s="42">
        <f>IFERROR(VLOOKUP(E221,Sheet2!$AE$1:$AF$975,2,FALSE),0)</f>
        <v>0</v>
      </c>
      <c r="X221" s="43">
        <f>IFERROR(VLOOKUP(E221,Sheet2!$AG$1:$AH$975,2,FALSE),0)</f>
        <v>0</v>
      </c>
      <c r="Z221" s="60">
        <f>IFERROR(VLOOKUP(F221,Sheet2!$AA$1:$AB$975,2,FALSE),0)</f>
        <v>0</v>
      </c>
      <c r="AA221" s="64">
        <f>IFERROR(VLOOKUP(F221,Sheet2!$AC$1:$AD$975,2,FALSE),0)</f>
        <v>0</v>
      </c>
      <c r="AB221" s="65">
        <f>IFERROR(VLOOKUP(F221,Sheet2!$AE$2:$AF$6539,2,FALSE),0)</f>
        <v>0</v>
      </c>
      <c r="AC221" s="43">
        <f>IFERROR(VLOOKUP(F221,Sheet2!$AG$2:$AH$6539,2,FALSE),0)</f>
        <v>0</v>
      </c>
      <c r="AE221" s="112">
        <v>19</v>
      </c>
      <c r="AF221" s="9">
        <v>0</v>
      </c>
      <c r="AG221" s="9">
        <v>0</v>
      </c>
      <c r="AH221" s="9">
        <v>0</v>
      </c>
      <c r="AI221" s="9">
        <v>0</v>
      </c>
      <c r="AJ221" s="9">
        <f t="shared" si="8"/>
        <v>19</v>
      </c>
      <c r="AK221" s="45">
        <f t="shared" si="9"/>
        <v>128.25</v>
      </c>
      <c r="AL221" s="68">
        <v>0</v>
      </c>
      <c r="AM221" s="68">
        <v>0</v>
      </c>
    </row>
    <row r="222" spans="1:39" x14ac:dyDescent="0.2">
      <c r="A222" s="57" t="s">
        <v>2082</v>
      </c>
      <c r="B222" s="47">
        <v>46173</v>
      </c>
      <c r="C222" s="48"/>
      <c r="D222" s="48" t="s">
        <v>1429</v>
      </c>
      <c r="E222" s="49" t="s">
        <v>470</v>
      </c>
      <c r="F222" s="49" t="s">
        <v>471</v>
      </c>
      <c r="G222" s="47" t="e">
        <v>#N/A</v>
      </c>
      <c r="H222" s="47" t="s">
        <v>94</v>
      </c>
      <c r="I222" s="9" t="s">
        <v>469</v>
      </c>
      <c r="J222" s="40" t="s">
        <v>1828</v>
      </c>
      <c r="K222" s="9" t="s">
        <v>187</v>
      </c>
      <c r="L222" s="9" t="s">
        <v>25</v>
      </c>
      <c r="M222" s="11"/>
      <c r="N222" s="11"/>
      <c r="O222" s="50">
        <v>6.75</v>
      </c>
      <c r="R222" s="9">
        <f>IFERROR(VLOOKUP(E222,Sheet6!$A$2:$B$500,2,FALSE),0)</f>
        <v>0</v>
      </c>
      <c r="S222" s="41">
        <f>IFERROR(VLOOKUP(E222,Sheet6!$C$2:$D$35017,2,FALSE),0)</f>
        <v>0</v>
      </c>
      <c r="U222" s="9">
        <f>IFERROR(VLOOKUP(E222,Sheet2!$AA$1:$AB$975,2,FALSE),0)</f>
        <v>0</v>
      </c>
      <c r="V222" s="41">
        <f>IFERROR(VLOOKUP(E222,Sheet2!$AC$1:$AD$975,2,FALSE),0)</f>
        <v>0</v>
      </c>
      <c r="W222" s="42">
        <f>IFERROR(VLOOKUP(E222,Sheet2!$AE$1:$AF$975,2,FALSE),0)</f>
        <v>0</v>
      </c>
      <c r="X222" s="43">
        <f>IFERROR(VLOOKUP(E222,Sheet2!$AG$1:$AH$975,2,FALSE),0)</f>
        <v>0</v>
      </c>
      <c r="Z222" s="60">
        <f>IFERROR(VLOOKUP(F222,Sheet2!$AA$1:$AB$975,2,FALSE),0)</f>
        <v>0</v>
      </c>
      <c r="AA222" s="64">
        <f>IFERROR(VLOOKUP(F222,Sheet2!$AC$1:$AD$975,2,FALSE),0)</f>
        <v>0</v>
      </c>
      <c r="AB222" s="65">
        <f>IFERROR(VLOOKUP(F222,Sheet2!$AE$2:$AF$6539,2,FALSE),0)</f>
        <v>0</v>
      </c>
      <c r="AC222" s="43">
        <f>IFERROR(VLOOKUP(F222,Sheet2!$AG$2:$AH$6539,2,FALSE),0)</f>
        <v>0</v>
      </c>
      <c r="AE222" s="112">
        <v>15</v>
      </c>
      <c r="AF222" s="9">
        <v>0</v>
      </c>
      <c r="AG222" s="9">
        <v>0</v>
      </c>
      <c r="AH222" s="9">
        <v>0</v>
      </c>
      <c r="AI222" s="9">
        <v>0</v>
      </c>
      <c r="AJ222" s="9">
        <f t="shared" si="8"/>
        <v>15</v>
      </c>
      <c r="AK222" s="45">
        <f t="shared" si="9"/>
        <v>101.25</v>
      </c>
      <c r="AL222" s="68">
        <v>0</v>
      </c>
      <c r="AM222" s="68">
        <v>0</v>
      </c>
    </row>
    <row r="223" spans="1:39" x14ac:dyDescent="0.2">
      <c r="A223" s="57" t="s">
        <v>2082</v>
      </c>
      <c r="B223" s="47">
        <v>46173</v>
      </c>
      <c r="C223" s="48"/>
      <c r="D223" s="48" t="s">
        <v>1430</v>
      </c>
      <c r="E223" s="49" t="s">
        <v>472</v>
      </c>
      <c r="F223" s="49" t="s">
        <v>473</v>
      </c>
      <c r="G223" s="47" t="e">
        <v>#N/A</v>
      </c>
      <c r="H223" s="47" t="s">
        <v>94</v>
      </c>
      <c r="I223" s="9" t="s">
        <v>474</v>
      </c>
      <c r="J223" s="40" t="s">
        <v>1748</v>
      </c>
      <c r="K223" s="9" t="s">
        <v>125</v>
      </c>
      <c r="L223" s="9" t="s">
        <v>29</v>
      </c>
      <c r="M223" s="11"/>
      <c r="N223" s="11"/>
      <c r="O223" s="50">
        <v>7.7760000000000007</v>
      </c>
      <c r="R223" s="9">
        <f>IFERROR(VLOOKUP(E223,Sheet6!$A$2:$B$500,2,FALSE),0)</f>
        <v>0</v>
      </c>
      <c r="S223" s="41">
        <f>IFERROR(VLOOKUP(E223,Sheet6!$C$2:$D$35017,2,FALSE),0)</f>
        <v>0</v>
      </c>
      <c r="U223" s="9">
        <f>IFERROR(VLOOKUP(E223,Sheet2!$AA$1:$AB$975,2,FALSE),0)</f>
        <v>0</v>
      </c>
      <c r="V223" s="41">
        <f>IFERROR(VLOOKUP(E223,Sheet2!$AC$1:$AD$975,2,FALSE),0)</f>
        <v>0</v>
      </c>
      <c r="W223" s="42">
        <f>IFERROR(VLOOKUP(E223,Sheet2!$AE$1:$AF$975,2,FALSE),0)</f>
        <v>0</v>
      </c>
      <c r="X223" s="43">
        <f>IFERROR(VLOOKUP(E223,Sheet2!$AG$1:$AH$975,2,FALSE),0)</f>
        <v>0</v>
      </c>
      <c r="Z223" s="60">
        <f>IFERROR(VLOOKUP(F223,Sheet2!$AA$1:$AB$975,2,FALSE),0)</f>
        <v>0</v>
      </c>
      <c r="AA223" s="64">
        <f>IFERROR(VLOOKUP(F223,Sheet2!$AC$1:$AD$975,2,FALSE),0)</f>
        <v>0</v>
      </c>
      <c r="AB223" s="65">
        <f>IFERROR(VLOOKUP(F223,Sheet2!$AE$2:$AF$6539,2,FALSE),0)</f>
        <v>0</v>
      </c>
      <c r="AC223" s="43">
        <f>IFERROR(VLOOKUP(F223,Sheet2!$AG$2:$AH$6539,2,FALSE),0)</f>
        <v>0</v>
      </c>
      <c r="AE223" s="112">
        <v>0</v>
      </c>
      <c r="AF223" s="9">
        <v>0</v>
      </c>
      <c r="AG223" s="9">
        <v>0</v>
      </c>
      <c r="AH223" s="9">
        <v>0</v>
      </c>
      <c r="AI223" s="9">
        <v>0</v>
      </c>
      <c r="AJ223" s="9">
        <f t="shared" si="8"/>
        <v>0</v>
      </c>
      <c r="AK223" s="45">
        <f t="shared" si="9"/>
        <v>0</v>
      </c>
      <c r="AL223" s="68">
        <v>0</v>
      </c>
      <c r="AM223" s="68">
        <v>0</v>
      </c>
    </row>
    <row r="224" spans="1:39" x14ac:dyDescent="0.2">
      <c r="A224" s="57" t="s">
        <v>2082</v>
      </c>
      <c r="B224" s="47">
        <v>46173</v>
      </c>
      <c r="C224" s="48"/>
      <c r="D224" s="48" t="s">
        <v>1431</v>
      </c>
      <c r="E224" s="49" t="s">
        <v>475</v>
      </c>
      <c r="F224" s="49" t="s">
        <v>476</v>
      </c>
      <c r="G224" s="47" t="e">
        <v>#N/A</v>
      </c>
      <c r="H224" s="47" t="s">
        <v>94</v>
      </c>
      <c r="I224" s="9" t="s">
        <v>474</v>
      </c>
      <c r="J224" s="40" t="s">
        <v>1748</v>
      </c>
      <c r="K224" s="9" t="s">
        <v>477</v>
      </c>
      <c r="L224" s="9" t="s">
        <v>29</v>
      </c>
      <c r="M224" s="11"/>
      <c r="N224" s="11"/>
      <c r="O224" s="50">
        <v>7.7760000000000007</v>
      </c>
      <c r="R224" s="9">
        <f>IFERROR(VLOOKUP(E224,Sheet6!$A$2:$B$500,2,FALSE),0)</f>
        <v>0</v>
      </c>
      <c r="S224" s="41">
        <f>IFERROR(VLOOKUP(E224,Sheet6!$C$2:$D$35017,2,FALSE),0)</f>
        <v>0</v>
      </c>
      <c r="U224" s="9">
        <f>IFERROR(VLOOKUP(E224,Sheet2!$AA$1:$AB$975,2,FALSE),0)</f>
        <v>0</v>
      </c>
      <c r="V224" s="41">
        <f>IFERROR(VLOOKUP(E224,Sheet2!$AC$1:$AD$975,2,FALSE),0)</f>
        <v>0</v>
      </c>
      <c r="W224" s="42">
        <f>IFERROR(VLOOKUP(E224,Sheet2!$AE$1:$AF$975,2,FALSE),0)</f>
        <v>0</v>
      </c>
      <c r="X224" s="43">
        <f>IFERROR(VLOOKUP(E224,Sheet2!$AG$1:$AH$975,2,FALSE),0)</f>
        <v>0</v>
      </c>
      <c r="Z224" s="60">
        <f>IFERROR(VLOOKUP(F224,Sheet2!$AA$1:$AB$975,2,FALSE),0)</f>
        <v>0</v>
      </c>
      <c r="AA224" s="64">
        <f>IFERROR(VLOOKUP(F224,Sheet2!$AC$1:$AD$975,2,FALSE),0)</f>
        <v>0</v>
      </c>
      <c r="AB224" s="65">
        <f>IFERROR(VLOOKUP(F224,Sheet2!$AE$2:$AF$6539,2,FALSE),0)</f>
        <v>0</v>
      </c>
      <c r="AC224" s="43">
        <f>IFERROR(VLOOKUP(F224,Sheet2!$AG$2:$AH$6539,2,FALSE),0)</f>
        <v>0</v>
      </c>
      <c r="AE224" s="112">
        <v>0</v>
      </c>
      <c r="AF224" s="9">
        <v>0</v>
      </c>
      <c r="AG224" s="9">
        <v>0</v>
      </c>
      <c r="AH224" s="9">
        <v>0</v>
      </c>
      <c r="AI224" s="9">
        <v>0</v>
      </c>
      <c r="AJ224" s="9">
        <f t="shared" si="8"/>
        <v>0</v>
      </c>
      <c r="AK224" s="45">
        <f t="shared" si="9"/>
        <v>0</v>
      </c>
      <c r="AL224" s="68">
        <v>0</v>
      </c>
      <c r="AM224" s="68">
        <v>0</v>
      </c>
    </row>
    <row r="225" spans="1:39" x14ac:dyDescent="0.2">
      <c r="A225" s="57" t="s">
        <v>2082</v>
      </c>
      <c r="B225" s="47">
        <v>46173</v>
      </c>
      <c r="C225" s="48"/>
      <c r="D225" s="48" t="s">
        <v>1432</v>
      </c>
      <c r="E225" s="49" t="s">
        <v>1014</v>
      </c>
      <c r="F225" s="49" t="s">
        <v>1074</v>
      </c>
      <c r="G225" s="47" t="e">
        <v>#N/A</v>
      </c>
      <c r="H225" s="47" t="s">
        <v>94</v>
      </c>
      <c r="I225" s="9" t="s">
        <v>1098</v>
      </c>
      <c r="J225" s="40" t="s">
        <v>1841</v>
      </c>
      <c r="K225" s="9" t="s">
        <v>195</v>
      </c>
      <c r="L225" s="9" t="s">
        <v>29</v>
      </c>
      <c r="M225" s="11"/>
      <c r="N225" s="11"/>
      <c r="O225" s="50">
        <v>7.3440000000000003</v>
      </c>
      <c r="R225" s="9">
        <f>IFERROR(VLOOKUP(E225,Sheet6!$A$2:$B$500,2,FALSE),0)</f>
        <v>0</v>
      </c>
      <c r="S225" s="41">
        <f>IFERROR(VLOOKUP(E225,Sheet6!$C$2:$D$35017,2,FALSE),0)</f>
        <v>0</v>
      </c>
      <c r="U225" s="9">
        <f>IFERROR(VLOOKUP(E225,Sheet2!$AA$1:$AB$975,2,FALSE),0)</f>
        <v>0</v>
      </c>
      <c r="V225" s="41">
        <f>IFERROR(VLOOKUP(E225,Sheet2!$AC$1:$AD$975,2,FALSE),0)</f>
        <v>0</v>
      </c>
      <c r="W225" s="42">
        <f>IFERROR(VLOOKUP(E225,Sheet2!$AE$1:$AF$975,2,FALSE),0)</f>
        <v>0</v>
      </c>
      <c r="X225" s="43">
        <f>IFERROR(VLOOKUP(E225,Sheet2!$AG$1:$AH$975,2,FALSE),0)</f>
        <v>0</v>
      </c>
      <c r="Z225" s="60">
        <f>IFERROR(VLOOKUP(F225,Sheet2!$AA$1:$AB$975,2,FALSE),0)</f>
        <v>0</v>
      </c>
      <c r="AA225" s="64">
        <f>IFERROR(VLOOKUP(F225,Sheet2!$AC$1:$AD$975,2,FALSE),0)</f>
        <v>0</v>
      </c>
      <c r="AB225" s="65">
        <f>IFERROR(VLOOKUP(F225,Sheet2!$AE$2:$AF$6539,2,FALSE),0)</f>
        <v>0</v>
      </c>
      <c r="AC225" s="43">
        <f>IFERROR(VLOOKUP(F225,Sheet2!$AG$2:$AH$6539,2,FALSE),0)</f>
        <v>0</v>
      </c>
      <c r="AE225" s="112">
        <v>3</v>
      </c>
      <c r="AF225" s="9">
        <v>0</v>
      </c>
      <c r="AG225" s="9">
        <v>0</v>
      </c>
      <c r="AH225" s="9">
        <v>0</v>
      </c>
      <c r="AI225" s="9">
        <v>0</v>
      </c>
      <c r="AJ225" s="9">
        <f t="shared" si="8"/>
        <v>3</v>
      </c>
      <c r="AK225" s="45">
        <f t="shared" si="9"/>
        <v>22.032</v>
      </c>
      <c r="AL225" s="68">
        <v>0</v>
      </c>
      <c r="AM225" s="68">
        <v>0</v>
      </c>
    </row>
    <row r="226" spans="1:39" x14ac:dyDescent="0.2">
      <c r="A226" s="57" t="s">
        <v>2082</v>
      </c>
      <c r="B226" s="47">
        <v>46173</v>
      </c>
      <c r="C226" s="48"/>
      <c r="D226" s="48" t="s">
        <v>1433</v>
      </c>
      <c r="E226" s="49" t="s">
        <v>1015</v>
      </c>
      <c r="F226" s="49" t="s">
        <v>1075</v>
      </c>
      <c r="G226" s="47" t="e">
        <v>#N/A</v>
      </c>
      <c r="H226" s="47" t="s">
        <v>94</v>
      </c>
      <c r="I226" s="9" t="s">
        <v>1098</v>
      </c>
      <c r="J226" s="40" t="s">
        <v>1841</v>
      </c>
      <c r="K226" s="9" t="s">
        <v>1031</v>
      </c>
      <c r="L226" s="9" t="s">
        <v>29</v>
      </c>
      <c r="M226" s="11"/>
      <c r="N226" s="11"/>
      <c r="O226" s="50">
        <v>7.3440000000000003</v>
      </c>
      <c r="R226" s="9">
        <f>IFERROR(VLOOKUP(E226,Sheet6!$A$2:$B$500,2,FALSE),0)</f>
        <v>0</v>
      </c>
      <c r="S226" s="41">
        <f>IFERROR(VLOOKUP(E226,Sheet6!$C$2:$D$35017,2,FALSE),0)</f>
        <v>0</v>
      </c>
      <c r="U226" s="9">
        <f>IFERROR(VLOOKUP(E226,Sheet2!$AA$1:$AB$975,2,FALSE),0)</f>
        <v>0</v>
      </c>
      <c r="V226" s="41">
        <f>IFERROR(VLOOKUP(E226,Sheet2!$AC$1:$AD$975,2,FALSE),0)</f>
        <v>0</v>
      </c>
      <c r="W226" s="42">
        <f>IFERROR(VLOOKUP(E226,Sheet2!$AE$1:$AF$975,2,FALSE),0)</f>
        <v>0</v>
      </c>
      <c r="X226" s="43">
        <f>IFERROR(VLOOKUP(E226,Sheet2!$AG$1:$AH$975,2,FALSE),0)</f>
        <v>0</v>
      </c>
      <c r="Z226" s="60">
        <f>IFERROR(VLOOKUP(F226,Sheet2!$AA$1:$AB$975,2,FALSE),0)</f>
        <v>0</v>
      </c>
      <c r="AA226" s="64">
        <f>IFERROR(VLOOKUP(F226,Sheet2!$AC$1:$AD$975,2,FALSE),0)</f>
        <v>0</v>
      </c>
      <c r="AB226" s="65">
        <f>IFERROR(VLOOKUP(F226,Sheet2!$AE$2:$AF$6539,2,FALSE),0)</f>
        <v>0</v>
      </c>
      <c r="AC226" s="43">
        <f>IFERROR(VLOOKUP(F226,Sheet2!$AG$2:$AH$6539,2,FALSE),0)</f>
        <v>0</v>
      </c>
      <c r="AE226" s="112">
        <v>9</v>
      </c>
      <c r="AF226" s="9">
        <v>0</v>
      </c>
      <c r="AG226" s="9">
        <v>0</v>
      </c>
      <c r="AH226" s="9">
        <v>0</v>
      </c>
      <c r="AI226" s="9">
        <v>0</v>
      </c>
      <c r="AJ226" s="9">
        <f t="shared" si="8"/>
        <v>9</v>
      </c>
      <c r="AK226" s="45">
        <f t="shared" si="9"/>
        <v>66.096000000000004</v>
      </c>
      <c r="AL226" s="68">
        <v>0</v>
      </c>
      <c r="AM226" s="68">
        <v>0</v>
      </c>
    </row>
    <row r="227" spans="1:39" x14ac:dyDescent="0.2">
      <c r="A227" s="57" t="s">
        <v>2082</v>
      </c>
      <c r="B227" s="47">
        <v>46173</v>
      </c>
      <c r="C227" s="48"/>
      <c r="D227" s="48" t="s">
        <v>1434</v>
      </c>
      <c r="E227" s="49" t="s">
        <v>1013</v>
      </c>
      <c r="F227" s="49" t="s">
        <v>1073</v>
      </c>
      <c r="G227" s="47" t="s">
        <v>964</v>
      </c>
      <c r="H227" s="47" t="s">
        <v>94</v>
      </c>
      <c r="I227" s="9" t="s">
        <v>1098</v>
      </c>
      <c r="J227" s="40" t="s">
        <v>1841</v>
      </c>
      <c r="K227" s="9" t="s">
        <v>205</v>
      </c>
      <c r="L227" s="9" t="s">
        <v>29</v>
      </c>
      <c r="M227" s="11"/>
      <c r="N227" s="11"/>
      <c r="O227" s="50">
        <v>7.3440000000000003</v>
      </c>
      <c r="R227" s="9">
        <f>IFERROR(VLOOKUP(E227,Sheet6!$A$2:$B$500,2,FALSE),0)</f>
        <v>1</v>
      </c>
      <c r="S227" s="41">
        <f>IFERROR(VLOOKUP(E227,Sheet6!$C$2:$D$35017,2,FALSE),0)</f>
        <v>17</v>
      </c>
      <c r="U227" s="9">
        <f>IFERROR(VLOOKUP(E227,Sheet2!$AA$1:$AB$975,2,FALSE),0)</f>
        <v>0</v>
      </c>
      <c r="V227" s="41">
        <f>IFERROR(VLOOKUP(E227,Sheet2!$AC$1:$AD$975,2,FALSE),0)</f>
        <v>0</v>
      </c>
      <c r="W227" s="42">
        <f>IFERROR(VLOOKUP(E227,Sheet2!$AE$1:$AF$975,2,FALSE),0)</f>
        <v>0</v>
      </c>
      <c r="X227" s="43">
        <f>IFERROR(VLOOKUP(E227,Sheet2!$AG$1:$AH$975,2,FALSE),0)</f>
        <v>0</v>
      </c>
      <c r="Z227" s="60">
        <f>IFERROR(VLOOKUP(F227,Sheet2!$AA$1:$AB$975,2,FALSE),0)</f>
        <v>0</v>
      </c>
      <c r="AA227" s="64">
        <f>IFERROR(VLOOKUP(F227,Sheet2!$AC$1:$AD$975,2,FALSE),0)</f>
        <v>0</v>
      </c>
      <c r="AB227" s="65">
        <f>IFERROR(VLOOKUP(F227,Sheet2!$AE$2:$AF$6539,2,FALSE),0)</f>
        <v>0</v>
      </c>
      <c r="AC227" s="43">
        <f>IFERROR(VLOOKUP(F227,Sheet2!$AG$2:$AH$6539,2,FALSE),0)</f>
        <v>0</v>
      </c>
      <c r="AE227" s="112">
        <v>0</v>
      </c>
      <c r="AF227" s="9">
        <v>0</v>
      </c>
      <c r="AG227" s="9">
        <v>0</v>
      </c>
      <c r="AH227" s="9">
        <v>0</v>
      </c>
      <c r="AI227" s="9">
        <v>0</v>
      </c>
      <c r="AJ227" s="9">
        <f t="shared" si="8"/>
        <v>0</v>
      </c>
      <c r="AK227" s="45">
        <f t="shared" si="9"/>
        <v>0</v>
      </c>
      <c r="AL227" s="68">
        <v>0</v>
      </c>
      <c r="AM227" s="68">
        <v>0</v>
      </c>
    </row>
    <row r="228" spans="1:39" x14ac:dyDescent="0.2">
      <c r="A228" s="57" t="s">
        <v>2082</v>
      </c>
      <c r="B228" s="47">
        <v>46173</v>
      </c>
      <c r="C228" s="111"/>
      <c r="D228" s="48" t="s">
        <v>1435</v>
      </c>
      <c r="E228" s="49" t="s">
        <v>478</v>
      </c>
      <c r="F228" s="49" t="s">
        <v>479</v>
      </c>
      <c r="G228" s="47" t="e">
        <v>#N/A</v>
      </c>
      <c r="H228" s="47" t="s">
        <v>94</v>
      </c>
      <c r="I228" s="9" t="s">
        <v>480</v>
      </c>
      <c r="J228" s="40" t="s">
        <v>481</v>
      </c>
      <c r="K228" s="9" t="s">
        <v>41</v>
      </c>
      <c r="L228" s="9" t="s">
        <v>29</v>
      </c>
      <c r="M228" s="11"/>
      <c r="N228" s="11"/>
      <c r="O228" s="50">
        <v>7.36</v>
      </c>
      <c r="R228" s="9">
        <f>IFERROR(VLOOKUP(E228,Sheet6!$A$2:$B$500,2,FALSE),0)</f>
        <v>0</v>
      </c>
      <c r="S228" s="41">
        <f>IFERROR(VLOOKUP(E228,Sheet6!$C$2:$D$35017,2,FALSE),0)</f>
        <v>0</v>
      </c>
      <c r="U228" s="9">
        <f>IFERROR(VLOOKUP(E228,Sheet2!$AA$1:$AB$975,2,FALSE),0)</f>
        <v>0</v>
      </c>
      <c r="V228" s="41">
        <f>IFERROR(VLOOKUP(E228,Sheet2!$AC$1:$AD$975,2,FALSE),0)</f>
        <v>0</v>
      </c>
      <c r="W228" s="42">
        <f>IFERROR(VLOOKUP(E228,Sheet2!$AE$1:$AF$975,2,FALSE),0)</f>
        <v>0</v>
      </c>
      <c r="X228" s="43">
        <f>IFERROR(VLOOKUP(E228,Sheet2!$AG$1:$AH$975,2,FALSE),0)</f>
        <v>0</v>
      </c>
      <c r="Z228" s="60">
        <f>IFERROR(VLOOKUP(F228,Sheet2!$AA$1:$AB$975,2,FALSE),0)</f>
        <v>0</v>
      </c>
      <c r="AA228" s="64">
        <f>IFERROR(VLOOKUP(F228,Sheet2!$AC$1:$AD$975,2,FALSE),0)</f>
        <v>0</v>
      </c>
      <c r="AB228" s="65">
        <f>IFERROR(VLOOKUP(F228,Sheet2!$AE$2:$AF$6539,2,FALSE),0)</f>
        <v>0</v>
      </c>
      <c r="AC228" s="43">
        <f>IFERROR(VLOOKUP(F228,Sheet2!$AG$2:$AH$6539,2,FALSE),0)</f>
        <v>0</v>
      </c>
      <c r="AE228" s="112">
        <v>0</v>
      </c>
      <c r="AF228" s="9">
        <v>0</v>
      </c>
      <c r="AG228" s="9">
        <v>0</v>
      </c>
      <c r="AH228" s="9">
        <v>0</v>
      </c>
      <c r="AI228" s="9">
        <v>0</v>
      </c>
      <c r="AJ228" s="9">
        <f t="shared" si="8"/>
        <v>0</v>
      </c>
      <c r="AK228" s="45">
        <f t="shared" si="9"/>
        <v>0</v>
      </c>
      <c r="AL228" s="68">
        <v>0</v>
      </c>
      <c r="AM228" s="68">
        <v>0</v>
      </c>
    </row>
    <row r="229" spans="1:39" x14ac:dyDescent="0.2">
      <c r="A229" s="57" t="s">
        <v>2082</v>
      </c>
      <c r="B229" s="47">
        <v>46173</v>
      </c>
      <c r="C229" s="111"/>
      <c r="D229" s="48" t="s">
        <v>1436</v>
      </c>
      <c r="E229" s="49" t="s">
        <v>482</v>
      </c>
      <c r="F229" s="49" t="s">
        <v>483</v>
      </c>
      <c r="G229" s="47" t="s">
        <v>962</v>
      </c>
      <c r="H229" s="47" t="s">
        <v>94</v>
      </c>
      <c r="I229" s="9" t="s">
        <v>480</v>
      </c>
      <c r="J229" s="40" t="s">
        <v>481</v>
      </c>
      <c r="K229" s="9" t="s">
        <v>484</v>
      </c>
      <c r="L229" s="9" t="s">
        <v>29</v>
      </c>
      <c r="M229" s="11"/>
      <c r="N229" s="11"/>
      <c r="O229" s="50">
        <v>7.36</v>
      </c>
      <c r="R229" s="9">
        <f>IFERROR(VLOOKUP(E229,Sheet6!$A$2:$B$500,2,FALSE),0)</f>
        <v>0</v>
      </c>
      <c r="S229" s="41">
        <f>IFERROR(VLOOKUP(E229,Sheet6!$C$2:$D$35017,2,FALSE),0)</f>
        <v>0</v>
      </c>
      <c r="U229" s="9">
        <f>IFERROR(VLOOKUP(E229,Sheet2!$AA$1:$AB$975,2,FALSE),0)</f>
        <v>0</v>
      </c>
      <c r="V229" s="41">
        <f>IFERROR(VLOOKUP(E229,Sheet2!$AC$1:$AD$975,2,FALSE),0)</f>
        <v>0</v>
      </c>
      <c r="W229" s="42">
        <f>IFERROR(VLOOKUP(E229,Sheet2!$AE$1:$AF$975,2,FALSE),0)</f>
        <v>0</v>
      </c>
      <c r="X229" s="43">
        <f>IFERROR(VLOOKUP(E229,Sheet2!$AG$1:$AH$975,2,FALSE),0)</f>
        <v>0</v>
      </c>
      <c r="Z229" s="60">
        <f>IFERROR(VLOOKUP(F229,Sheet2!$AA$1:$AB$975,2,FALSE),0)</f>
        <v>0</v>
      </c>
      <c r="AA229" s="64">
        <f>IFERROR(VLOOKUP(F229,Sheet2!$AC$1:$AD$975,2,FALSE),0)</f>
        <v>0</v>
      </c>
      <c r="AB229" s="65">
        <f>IFERROR(VLOOKUP(F229,Sheet2!$AE$2:$AF$6539,2,FALSE),0)</f>
        <v>0</v>
      </c>
      <c r="AC229" s="43">
        <f>IFERROR(VLOOKUP(F229,Sheet2!$AG$2:$AH$6539,2,FALSE),0)</f>
        <v>0</v>
      </c>
      <c r="AE229" s="112">
        <v>1</v>
      </c>
      <c r="AF229" s="9">
        <v>0</v>
      </c>
      <c r="AG229" s="9">
        <v>0</v>
      </c>
      <c r="AH229" s="9">
        <v>0</v>
      </c>
      <c r="AI229" s="9">
        <v>0</v>
      </c>
      <c r="AJ229" s="9">
        <f t="shared" si="8"/>
        <v>1</v>
      </c>
      <c r="AK229" s="45">
        <f t="shared" si="9"/>
        <v>7.36</v>
      </c>
      <c r="AL229" s="68">
        <v>0</v>
      </c>
      <c r="AM229" s="68">
        <v>0</v>
      </c>
    </row>
    <row r="230" spans="1:39" x14ac:dyDescent="0.2">
      <c r="A230" s="57" t="s">
        <v>2082</v>
      </c>
      <c r="B230" s="47">
        <v>46173</v>
      </c>
      <c r="C230" s="111"/>
      <c r="D230" s="48" t="s">
        <v>1437</v>
      </c>
      <c r="E230" s="49" t="s">
        <v>485</v>
      </c>
      <c r="F230" s="49" t="s">
        <v>486</v>
      </c>
      <c r="G230" s="47" t="s">
        <v>963</v>
      </c>
      <c r="H230" s="47" t="s">
        <v>94</v>
      </c>
      <c r="I230" s="9" t="s">
        <v>480</v>
      </c>
      <c r="J230" s="40" t="s">
        <v>481</v>
      </c>
      <c r="K230" s="9" t="s">
        <v>331</v>
      </c>
      <c r="L230" s="9" t="s">
        <v>29</v>
      </c>
      <c r="M230" s="11"/>
      <c r="N230" s="11"/>
      <c r="O230" s="50">
        <v>7.36</v>
      </c>
      <c r="R230" s="9">
        <f>IFERROR(VLOOKUP(E230,Sheet6!$A$2:$B$500,2,FALSE),0)</f>
        <v>0</v>
      </c>
      <c r="S230" s="41">
        <f>IFERROR(VLOOKUP(E230,Sheet6!$C$2:$D$35017,2,FALSE),0)</f>
        <v>0</v>
      </c>
      <c r="U230" s="9">
        <f>IFERROR(VLOOKUP(E230,Sheet2!$AA$1:$AB$975,2,FALSE),0)</f>
        <v>0</v>
      </c>
      <c r="V230" s="41">
        <f>IFERROR(VLOOKUP(E230,Sheet2!$AC$1:$AD$975,2,FALSE),0)</f>
        <v>0</v>
      </c>
      <c r="W230" s="42">
        <f>IFERROR(VLOOKUP(E230,Sheet2!$AE$1:$AF$975,2,FALSE),0)</f>
        <v>0</v>
      </c>
      <c r="X230" s="43">
        <f>IFERROR(VLOOKUP(E230,Sheet2!$AG$1:$AH$975,2,FALSE),0)</f>
        <v>0</v>
      </c>
      <c r="Z230" s="60">
        <f>IFERROR(VLOOKUP(F230,Sheet2!$AA$1:$AB$975,2,FALSE),0)</f>
        <v>0</v>
      </c>
      <c r="AA230" s="64">
        <f>IFERROR(VLOOKUP(F230,Sheet2!$AC$1:$AD$975,2,FALSE),0)</f>
        <v>0</v>
      </c>
      <c r="AB230" s="65">
        <f>IFERROR(VLOOKUP(F230,Sheet2!$AE$2:$AF$6539,2,FALSE),0)</f>
        <v>0</v>
      </c>
      <c r="AC230" s="43">
        <f>IFERROR(VLOOKUP(F230,Sheet2!$AG$2:$AH$6539,2,FALSE),0)</f>
        <v>0</v>
      </c>
      <c r="AE230" s="112">
        <v>0</v>
      </c>
      <c r="AF230" s="9">
        <v>0</v>
      </c>
      <c r="AG230" s="9">
        <v>0</v>
      </c>
      <c r="AH230" s="9">
        <v>0</v>
      </c>
      <c r="AI230" s="9">
        <v>0</v>
      </c>
      <c r="AJ230" s="9">
        <f t="shared" si="8"/>
        <v>0</v>
      </c>
      <c r="AK230" s="45">
        <f t="shared" si="9"/>
        <v>0</v>
      </c>
      <c r="AL230" s="68">
        <v>0</v>
      </c>
      <c r="AM230" s="68">
        <v>0</v>
      </c>
    </row>
    <row r="231" spans="1:39" x14ac:dyDescent="0.2">
      <c r="A231" s="57" t="s">
        <v>2082</v>
      </c>
      <c r="B231" s="47">
        <v>46173</v>
      </c>
      <c r="C231" s="48"/>
      <c r="D231" s="48" t="s">
        <v>1438</v>
      </c>
      <c r="E231" s="49" t="s">
        <v>1016</v>
      </c>
      <c r="F231" s="49" t="s">
        <v>1076</v>
      </c>
      <c r="G231" s="47" t="e">
        <v>#N/A</v>
      </c>
      <c r="H231" s="47" t="s">
        <v>94</v>
      </c>
      <c r="I231" s="9" t="s">
        <v>1099</v>
      </c>
      <c r="J231" s="40" t="s">
        <v>1752</v>
      </c>
      <c r="K231" s="9" t="s">
        <v>1032</v>
      </c>
      <c r="L231" s="9" t="s">
        <v>29</v>
      </c>
      <c r="M231" s="11"/>
      <c r="N231" s="11"/>
      <c r="O231" s="50">
        <v>8.64</v>
      </c>
      <c r="R231" s="9">
        <f>IFERROR(VLOOKUP(E231,Sheet6!$A$2:$B$500,2,FALSE),0)</f>
        <v>0</v>
      </c>
      <c r="S231" s="41">
        <f>IFERROR(VLOOKUP(E231,Sheet6!$C$2:$D$35017,2,FALSE),0)</f>
        <v>0</v>
      </c>
      <c r="U231" s="9">
        <f>IFERROR(VLOOKUP(E231,Sheet2!$AA$1:$AB$975,2,FALSE),0)</f>
        <v>0</v>
      </c>
      <c r="V231" s="41">
        <f>IFERROR(VLOOKUP(E231,Sheet2!$AC$1:$AD$975,2,FALSE),0)</f>
        <v>0</v>
      </c>
      <c r="W231" s="42">
        <f>IFERROR(VLOOKUP(E231,Sheet2!$AE$1:$AF$975,2,FALSE),0)</f>
        <v>0</v>
      </c>
      <c r="X231" s="43">
        <f>IFERROR(VLOOKUP(E231,Sheet2!$AG$1:$AH$975,2,FALSE),0)</f>
        <v>0</v>
      </c>
      <c r="Z231" s="60">
        <f>IFERROR(VLOOKUP(F231,Sheet2!$AA$1:$AB$975,2,FALSE),0)</f>
        <v>0</v>
      </c>
      <c r="AA231" s="64">
        <f>IFERROR(VLOOKUP(F231,Sheet2!$AC$1:$AD$975,2,FALSE),0)</f>
        <v>0</v>
      </c>
      <c r="AB231" s="65">
        <f>IFERROR(VLOOKUP(F231,Sheet2!$AE$2:$AF$6539,2,FALSE),0)</f>
        <v>0</v>
      </c>
      <c r="AC231" s="43">
        <f>IFERROR(VLOOKUP(F231,Sheet2!$AG$2:$AH$6539,2,FALSE),0)</f>
        <v>0</v>
      </c>
      <c r="AE231" s="112">
        <v>30</v>
      </c>
      <c r="AF231" s="9">
        <v>24</v>
      </c>
      <c r="AG231" s="9">
        <v>0</v>
      </c>
      <c r="AH231" s="9">
        <v>0</v>
      </c>
      <c r="AI231" s="9">
        <v>24</v>
      </c>
      <c r="AJ231" s="9">
        <f t="shared" si="8"/>
        <v>54</v>
      </c>
      <c r="AK231" s="45">
        <f t="shared" si="9"/>
        <v>466.56000000000006</v>
      </c>
      <c r="AL231" s="68">
        <v>0</v>
      </c>
      <c r="AM231" s="68">
        <v>0</v>
      </c>
    </row>
    <row r="232" spans="1:39" x14ac:dyDescent="0.2">
      <c r="A232" s="57" t="s">
        <v>2082</v>
      </c>
      <c r="B232" s="47">
        <v>46173</v>
      </c>
      <c r="C232" s="48"/>
      <c r="D232" s="48" t="s">
        <v>1439</v>
      </c>
      <c r="E232" s="49" t="s">
        <v>1017</v>
      </c>
      <c r="F232" s="49" t="s">
        <v>1077</v>
      </c>
      <c r="G232" s="47" t="e">
        <v>#N/A</v>
      </c>
      <c r="H232" s="47" t="s">
        <v>94</v>
      </c>
      <c r="I232" s="9" t="s">
        <v>1099</v>
      </c>
      <c r="J232" s="40" t="s">
        <v>1752</v>
      </c>
      <c r="K232" s="9" t="s">
        <v>1032</v>
      </c>
      <c r="L232" s="9" t="s">
        <v>32</v>
      </c>
      <c r="M232" s="11"/>
      <c r="N232" s="11"/>
      <c r="O232" s="50">
        <v>8.64</v>
      </c>
      <c r="R232" s="9">
        <f>IFERROR(VLOOKUP(E232,Sheet6!$A$2:$B$500,2,FALSE),0)</f>
        <v>0</v>
      </c>
      <c r="S232" s="41">
        <f>IFERROR(VLOOKUP(E232,Sheet6!$C$2:$D$35017,2,FALSE),0)</f>
        <v>0</v>
      </c>
      <c r="U232" s="9">
        <f>IFERROR(VLOOKUP(E232,Sheet2!$AA$1:$AB$975,2,FALSE),0)</f>
        <v>0</v>
      </c>
      <c r="V232" s="41">
        <f>IFERROR(VLOOKUP(E232,Sheet2!$AC$1:$AD$975,2,FALSE),0)</f>
        <v>0</v>
      </c>
      <c r="W232" s="42">
        <f>IFERROR(VLOOKUP(E232,Sheet2!$AE$1:$AF$975,2,FALSE),0)</f>
        <v>0</v>
      </c>
      <c r="X232" s="43">
        <f>IFERROR(VLOOKUP(E232,Sheet2!$AG$1:$AH$975,2,FALSE),0)</f>
        <v>0</v>
      </c>
      <c r="Z232" s="60">
        <f>IFERROR(VLOOKUP(F232,Sheet2!$AA$1:$AB$975,2,FALSE),0)</f>
        <v>0</v>
      </c>
      <c r="AA232" s="64">
        <f>IFERROR(VLOOKUP(F232,Sheet2!$AC$1:$AD$975,2,FALSE),0)</f>
        <v>0</v>
      </c>
      <c r="AB232" s="65">
        <f>IFERROR(VLOOKUP(F232,Sheet2!$AE$2:$AF$6539,2,FALSE),0)</f>
        <v>0</v>
      </c>
      <c r="AC232" s="43">
        <f>IFERROR(VLOOKUP(F232,Sheet2!$AG$2:$AH$6539,2,FALSE),0)</f>
        <v>0</v>
      </c>
      <c r="AE232" s="112">
        <v>5</v>
      </c>
      <c r="AF232" s="9">
        <v>5</v>
      </c>
      <c r="AG232" s="9">
        <v>0</v>
      </c>
      <c r="AH232" s="9">
        <v>0</v>
      </c>
      <c r="AI232" s="9">
        <v>5</v>
      </c>
      <c r="AJ232" s="9">
        <f t="shared" si="8"/>
        <v>10</v>
      </c>
      <c r="AK232" s="45">
        <f t="shared" si="9"/>
        <v>86.4</v>
      </c>
      <c r="AL232" s="68">
        <v>0</v>
      </c>
      <c r="AM232" s="68">
        <v>0</v>
      </c>
    </row>
    <row r="233" spans="1:39" x14ac:dyDescent="0.2">
      <c r="A233" s="57" t="s">
        <v>2082</v>
      </c>
      <c r="B233" s="47">
        <v>46173</v>
      </c>
      <c r="C233" s="48"/>
      <c r="D233" s="48" t="s">
        <v>1440</v>
      </c>
      <c r="E233" s="49" t="s">
        <v>1020</v>
      </c>
      <c r="F233" s="49" t="s">
        <v>1080</v>
      </c>
      <c r="G233" s="47" t="e">
        <v>#N/A</v>
      </c>
      <c r="H233" s="47" t="s">
        <v>94</v>
      </c>
      <c r="I233" s="9" t="s">
        <v>1099</v>
      </c>
      <c r="J233" s="40" t="s">
        <v>1752</v>
      </c>
      <c r="K233" s="9" t="s">
        <v>1033</v>
      </c>
      <c r="L233" s="9" t="s">
        <v>29</v>
      </c>
      <c r="M233" s="11"/>
      <c r="N233" s="11"/>
      <c r="O233" s="50">
        <v>8.64</v>
      </c>
      <c r="R233" s="9">
        <f>IFERROR(VLOOKUP(E233,Sheet6!$A$2:$B$500,2,FALSE),0)</f>
        <v>0</v>
      </c>
      <c r="S233" s="41">
        <f>IFERROR(VLOOKUP(E233,Sheet6!$C$2:$D$35017,2,FALSE),0)</f>
        <v>0</v>
      </c>
      <c r="U233" s="9">
        <f>IFERROR(VLOOKUP(E233,Sheet2!$AA$1:$AB$975,2,FALSE),0)</f>
        <v>0</v>
      </c>
      <c r="V233" s="41">
        <f>IFERROR(VLOOKUP(E233,Sheet2!$AC$1:$AD$975,2,FALSE),0)</f>
        <v>0</v>
      </c>
      <c r="W233" s="42">
        <f>IFERROR(VLOOKUP(E233,Sheet2!$AE$1:$AF$975,2,FALSE),0)</f>
        <v>0</v>
      </c>
      <c r="X233" s="43">
        <f>IFERROR(VLOOKUP(E233,Sheet2!$AG$1:$AH$975,2,FALSE),0)</f>
        <v>0</v>
      </c>
      <c r="Z233" s="60">
        <f>IFERROR(VLOOKUP(F233,Sheet2!$AA$1:$AB$975,2,FALSE),0)</f>
        <v>0</v>
      </c>
      <c r="AA233" s="64">
        <f>IFERROR(VLOOKUP(F233,Sheet2!$AC$1:$AD$975,2,FALSE),0)</f>
        <v>0</v>
      </c>
      <c r="AB233" s="65">
        <f>IFERROR(VLOOKUP(F233,Sheet2!$AE$2:$AF$6539,2,FALSE),0)</f>
        <v>0</v>
      </c>
      <c r="AC233" s="43">
        <f>IFERROR(VLOOKUP(F233,Sheet2!$AG$2:$AH$6539,2,FALSE),0)</f>
        <v>0</v>
      </c>
      <c r="AE233" s="112">
        <v>6</v>
      </c>
      <c r="AF233" s="9">
        <v>22</v>
      </c>
      <c r="AG233" s="9">
        <v>0</v>
      </c>
      <c r="AH233" s="9">
        <v>1</v>
      </c>
      <c r="AI233" s="9">
        <v>23</v>
      </c>
      <c r="AJ233" s="9">
        <f t="shared" si="8"/>
        <v>29</v>
      </c>
      <c r="AK233" s="45">
        <f t="shared" si="9"/>
        <v>250.56</v>
      </c>
      <c r="AL233" s="68">
        <v>0</v>
      </c>
      <c r="AM233" s="68">
        <v>0</v>
      </c>
    </row>
    <row r="234" spans="1:39" x14ac:dyDescent="0.2">
      <c r="A234" s="57" t="s">
        <v>2082</v>
      </c>
      <c r="B234" s="47">
        <v>46173</v>
      </c>
      <c r="C234" s="48"/>
      <c r="D234" s="48" t="s">
        <v>1441</v>
      </c>
      <c r="E234" s="49" t="s">
        <v>1021</v>
      </c>
      <c r="F234" s="49" t="s">
        <v>1081</v>
      </c>
      <c r="G234" s="47" t="s">
        <v>967</v>
      </c>
      <c r="H234" s="47" t="s">
        <v>94</v>
      </c>
      <c r="I234" s="9" t="s">
        <v>1099</v>
      </c>
      <c r="J234" s="40" t="s">
        <v>1752</v>
      </c>
      <c r="K234" s="9" t="s">
        <v>1033</v>
      </c>
      <c r="L234" s="9" t="s">
        <v>32</v>
      </c>
      <c r="M234" s="11"/>
      <c r="N234" s="11"/>
      <c r="O234" s="50">
        <v>8.64</v>
      </c>
      <c r="R234" s="9">
        <f>IFERROR(VLOOKUP(E234,Sheet6!$A$2:$B$500,2,FALSE),0)</f>
        <v>0</v>
      </c>
      <c r="S234" s="41">
        <f>IFERROR(VLOOKUP(E234,Sheet6!$C$2:$D$35017,2,FALSE),0)</f>
        <v>0</v>
      </c>
      <c r="U234" s="9">
        <f>IFERROR(VLOOKUP(E234,Sheet2!$AA$1:$AB$975,2,FALSE),0)</f>
        <v>0</v>
      </c>
      <c r="V234" s="41">
        <f>IFERROR(VLOOKUP(E234,Sheet2!$AC$1:$AD$975,2,FALSE),0)</f>
        <v>0</v>
      </c>
      <c r="W234" s="42">
        <f>IFERROR(VLOOKUP(E234,Sheet2!$AE$1:$AF$975,2,FALSE),0)</f>
        <v>0</v>
      </c>
      <c r="X234" s="43">
        <f>IFERROR(VLOOKUP(E234,Sheet2!$AG$1:$AH$975,2,FALSE),0)</f>
        <v>0</v>
      </c>
      <c r="Z234" s="60">
        <f>IFERROR(VLOOKUP(F234,Sheet2!$AA$1:$AB$975,2,FALSE),0)</f>
        <v>0</v>
      </c>
      <c r="AA234" s="64">
        <f>IFERROR(VLOOKUP(F234,Sheet2!$AC$1:$AD$975,2,FALSE),0)</f>
        <v>0</v>
      </c>
      <c r="AB234" s="65">
        <f>IFERROR(VLOOKUP(F234,Sheet2!$AE$2:$AF$6539,2,FALSE),0)</f>
        <v>0</v>
      </c>
      <c r="AC234" s="43">
        <f>IFERROR(VLOOKUP(F234,Sheet2!$AG$2:$AH$6539,2,FALSE),0)</f>
        <v>0</v>
      </c>
      <c r="AE234" s="112">
        <v>9</v>
      </c>
      <c r="AF234" s="9">
        <v>22</v>
      </c>
      <c r="AG234" s="9">
        <v>0</v>
      </c>
      <c r="AH234" s="9">
        <v>0</v>
      </c>
      <c r="AI234" s="9">
        <v>22</v>
      </c>
      <c r="AJ234" s="9">
        <f t="shared" si="8"/>
        <v>31</v>
      </c>
      <c r="AK234" s="45">
        <f t="shared" si="9"/>
        <v>267.84000000000003</v>
      </c>
      <c r="AL234" s="68">
        <v>0</v>
      </c>
      <c r="AM234" s="68">
        <v>0</v>
      </c>
    </row>
    <row r="235" spans="1:39" x14ac:dyDescent="0.2">
      <c r="A235" s="57" t="s">
        <v>2082</v>
      </c>
      <c r="B235" s="47">
        <v>46173</v>
      </c>
      <c r="C235" s="48"/>
      <c r="D235" s="48" t="s">
        <v>1442</v>
      </c>
      <c r="E235" s="49" t="s">
        <v>1018</v>
      </c>
      <c r="F235" s="49" t="s">
        <v>1078</v>
      </c>
      <c r="G235" s="47" t="e">
        <v>#N/A</v>
      </c>
      <c r="H235" s="47" t="s">
        <v>94</v>
      </c>
      <c r="I235" s="9" t="s">
        <v>1099</v>
      </c>
      <c r="J235" s="40" t="s">
        <v>1752</v>
      </c>
      <c r="K235" s="9" t="s">
        <v>205</v>
      </c>
      <c r="L235" s="9" t="s">
        <v>29</v>
      </c>
      <c r="M235" s="11"/>
      <c r="N235" s="11"/>
      <c r="O235" s="50">
        <v>8.64</v>
      </c>
      <c r="R235" s="9">
        <f>IFERROR(VLOOKUP(E235,Sheet6!$A$2:$B$500,2,FALSE),0)</f>
        <v>0</v>
      </c>
      <c r="S235" s="41">
        <f>IFERROR(VLOOKUP(E235,Sheet6!$C$2:$D$35017,2,FALSE),0)</f>
        <v>0</v>
      </c>
      <c r="U235" s="9">
        <f>IFERROR(VLOOKUP(E235,Sheet2!$AA$1:$AB$975,2,FALSE),0)</f>
        <v>0</v>
      </c>
      <c r="V235" s="41">
        <f>IFERROR(VLOOKUP(E235,Sheet2!$AC$1:$AD$975,2,FALSE),0)</f>
        <v>0</v>
      </c>
      <c r="W235" s="42">
        <f>IFERROR(VLOOKUP(E235,Sheet2!$AE$1:$AF$975,2,FALSE),0)</f>
        <v>0</v>
      </c>
      <c r="X235" s="43">
        <f>IFERROR(VLOOKUP(E235,Sheet2!$AG$1:$AH$975,2,FALSE),0)</f>
        <v>0</v>
      </c>
      <c r="Z235" s="60">
        <f>IFERROR(VLOOKUP(F235,Sheet2!$AA$1:$AB$975,2,FALSE),0)</f>
        <v>0</v>
      </c>
      <c r="AA235" s="64">
        <f>IFERROR(VLOOKUP(F235,Sheet2!$AC$1:$AD$975,2,FALSE),0)</f>
        <v>0</v>
      </c>
      <c r="AB235" s="65">
        <f>IFERROR(VLOOKUP(F235,Sheet2!$AE$2:$AF$6539,2,FALSE),0)</f>
        <v>0</v>
      </c>
      <c r="AC235" s="43">
        <f>IFERROR(VLOOKUP(F235,Sheet2!$AG$2:$AH$6539,2,FALSE),0)</f>
        <v>0</v>
      </c>
      <c r="AE235" s="112">
        <v>4</v>
      </c>
      <c r="AF235" s="9">
        <v>13</v>
      </c>
      <c r="AG235" s="9">
        <v>0</v>
      </c>
      <c r="AH235" s="9">
        <v>0</v>
      </c>
      <c r="AI235" s="9">
        <v>13</v>
      </c>
      <c r="AJ235" s="9">
        <f t="shared" si="8"/>
        <v>17</v>
      </c>
      <c r="AK235" s="45">
        <f t="shared" si="9"/>
        <v>146.88</v>
      </c>
      <c r="AL235" s="68">
        <v>0</v>
      </c>
      <c r="AM235" s="68">
        <v>0</v>
      </c>
    </row>
    <row r="236" spans="1:39" x14ac:dyDescent="0.2">
      <c r="A236" s="57" t="s">
        <v>2082</v>
      </c>
      <c r="B236" s="47">
        <v>46173</v>
      </c>
      <c r="C236" s="48"/>
      <c r="D236" s="48" t="s">
        <v>1443</v>
      </c>
      <c r="E236" s="49" t="s">
        <v>1019</v>
      </c>
      <c r="F236" s="49" t="s">
        <v>1079</v>
      </c>
      <c r="G236" s="47" t="e">
        <v>#N/A</v>
      </c>
      <c r="H236" s="47" t="s">
        <v>94</v>
      </c>
      <c r="I236" s="9" t="s">
        <v>1099</v>
      </c>
      <c r="J236" s="40" t="s">
        <v>1752</v>
      </c>
      <c r="K236" s="9" t="s">
        <v>205</v>
      </c>
      <c r="L236" s="9" t="s">
        <v>32</v>
      </c>
      <c r="M236" s="11"/>
      <c r="N236" s="11"/>
      <c r="O236" s="50">
        <v>8.64</v>
      </c>
      <c r="R236" s="9">
        <f>IFERROR(VLOOKUP(E236,Sheet6!$A$2:$B$500,2,FALSE),0)</f>
        <v>0</v>
      </c>
      <c r="S236" s="41">
        <f>IFERROR(VLOOKUP(E236,Sheet6!$C$2:$D$35017,2,FALSE),0)</f>
        <v>0</v>
      </c>
      <c r="U236" s="9">
        <f>IFERROR(VLOOKUP(E236,Sheet2!$AA$1:$AB$975,2,FALSE),0)</f>
        <v>0</v>
      </c>
      <c r="V236" s="41">
        <f>IFERROR(VLOOKUP(E236,Sheet2!$AC$1:$AD$975,2,FALSE),0)</f>
        <v>0</v>
      </c>
      <c r="W236" s="42">
        <f>IFERROR(VLOOKUP(E236,Sheet2!$AE$1:$AF$975,2,FALSE),0)</f>
        <v>0</v>
      </c>
      <c r="X236" s="43">
        <f>IFERROR(VLOOKUP(E236,Sheet2!$AG$1:$AH$975,2,FALSE),0)</f>
        <v>0</v>
      </c>
      <c r="Z236" s="60">
        <f>IFERROR(VLOOKUP(F236,Sheet2!$AA$1:$AB$975,2,FALSE),0)</f>
        <v>0</v>
      </c>
      <c r="AA236" s="64">
        <f>IFERROR(VLOOKUP(F236,Sheet2!$AC$1:$AD$975,2,FALSE),0)</f>
        <v>0</v>
      </c>
      <c r="AB236" s="65">
        <f>IFERROR(VLOOKUP(F236,Sheet2!$AE$2:$AF$6539,2,FALSE),0)</f>
        <v>0</v>
      </c>
      <c r="AC236" s="43">
        <f>IFERROR(VLOOKUP(F236,Sheet2!$AG$2:$AH$6539,2,FALSE),0)</f>
        <v>0</v>
      </c>
      <c r="AE236" s="112">
        <v>0</v>
      </c>
      <c r="AF236" s="9">
        <v>35</v>
      </c>
      <c r="AG236" s="9">
        <v>0</v>
      </c>
      <c r="AH236" s="9">
        <v>0</v>
      </c>
      <c r="AI236" s="9">
        <v>35</v>
      </c>
      <c r="AJ236" s="9">
        <f t="shared" si="8"/>
        <v>35</v>
      </c>
      <c r="AK236" s="45">
        <f t="shared" si="9"/>
        <v>302.40000000000003</v>
      </c>
      <c r="AL236" s="68">
        <v>0</v>
      </c>
      <c r="AM236" s="68">
        <v>0</v>
      </c>
    </row>
    <row r="237" spans="1:39" x14ac:dyDescent="0.2">
      <c r="A237" s="57" t="s">
        <v>2082</v>
      </c>
      <c r="B237" s="47">
        <v>46173</v>
      </c>
      <c r="C237" s="48"/>
      <c r="D237" s="48" t="s">
        <v>1444</v>
      </c>
      <c r="E237" s="49" t="s">
        <v>487</v>
      </c>
      <c r="F237" s="49" t="s">
        <v>488</v>
      </c>
      <c r="G237" s="47" t="e">
        <v>#N/A</v>
      </c>
      <c r="H237" s="47" t="s">
        <v>94</v>
      </c>
      <c r="I237" s="9" t="s">
        <v>489</v>
      </c>
      <c r="J237" s="40" t="s">
        <v>1111</v>
      </c>
      <c r="K237" s="9" t="s">
        <v>24</v>
      </c>
      <c r="L237" s="9" t="s">
        <v>29</v>
      </c>
      <c r="M237" s="11"/>
      <c r="N237" s="11"/>
      <c r="O237" s="50">
        <v>6.9119999999999999</v>
      </c>
      <c r="R237" s="9">
        <f>IFERROR(VLOOKUP(E237,Sheet6!$A$2:$B$500,2,FALSE),0)</f>
        <v>0</v>
      </c>
      <c r="S237" s="41">
        <f>IFERROR(VLOOKUP(E237,Sheet6!$C$2:$D$35017,2,FALSE),0)</f>
        <v>0</v>
      </c>
      <c r="U237" s="9">
        <f>IFERROR(VLOOKUP(E237,Sheet2!$AA$1:$AB$975,2,FALSE),0)</f>
        <v>0</v>
      </c>
      <c r="V237" s="41">
        <f>IFERROR(VLOOKUP(E237,Sheet2!$AC$1:$AD$975,2,FALSE),0)</f>
        <v>0</v>
      </c>
      <c r="W237" s="42">
        <f>IFERROR(VLOOKUP(E237,Sheet2!$AE$1:$AF$975,2,FALSE),0)</f>
        <v>0</v>
      </c>
      <c r="X237" s="43">
        <f>IFERROR(VLOOKUP(E237,Sheet2!$AG$1:$AH$975,2,FALSE),0)</f>
        <v>0</v>
      </c>
      <c r="Z237" s="60">
        <f>IFERROR(VLOOKUP(F237,Sheet2!$AA$1:$AB$975,2,FALSE),0)</f>
        <v>0</v>
      </c>
      <c r="AA237" s="64">
        <f>IFERROR(VLOOKUP(F237,Sheet2!$AC$1:$AD$975,2,FALSE),0)</f>
        <v>0</v>
      </c>
      <c r="AB237" s="65">
        <f>IFERROR(VLOOKUP(F237,Sheet2!$AE$2:$AF$6539,2,FALSE),0)</f>
        <v>0</v>
      </c>
      <c r="AC237" s="43">
        <f>IFERROR(VLOOKUP(F237,Sheet2!$AG$2:$AH$6539,2,FALSE),0)</f>
        <v>0</v>
      </c>
      <c r="AE237" s="112">
        <v>0</v>
      </c>
      <c r="AF237" s="9">
        <v>0</v>
      </c>
      <c r="AG237" s="9">
        <v>0</v>
      </c>
      <c r="AH237" s="9">
        <v>0</v>
      </c>
      <c r="AI237" s="9">
        <v>0</v>
      </c>
      <c r="AJ237" s="9">
        <f t="shared" si="8"/>
        <v>0</v>
      </c>
      <c r="AK237" s="45">
        <f t="shared" si="9"/>
        <v>0</v>
      </c>
      <c r="AL237" s="68">
        <v>0</v>
      </c>
      <c r="AM237" s="68">
        <v>0</v>
      </c>
    </row>
    <row r="238" spans="1:39" x14ac:dyDescent="0.2">
      <c r="A238" s="57" t="s">
        <v>2082</v>
      </c>
      <c r="B238" s="47">
        <v>46173</v>
      </c>
      <c r="C238" s="48"/>
      <c r="D238" s="48" t="s">
        <v>1445</v>
      </c>
      <c r="E238" s="49" t="s">
        <v>490</v>
      </c>
      <c r="F238" s="49" t="s">
        <v>491</v>
      </c>
      <c r="G238" s="47" t="e">
        <v>#N/A</v>
      </c>
      <c r="H238" s="47" t="s">
        <v>94</v>
      </c>
      <c r="I238" s="9" t="s">
        <v>489</v>
      </c>
      <c r="J238" s="40" t="s">
        <v>1111</v>
      </c>
      <c r="K238" s="9" t="s">
        <v>24</v>
      </c>
      <c r="L238" s="9" t="s">
        <v>32</v>
      </c>
      <c r="M238" s="11"/>
      <c r="N238" s="11"/>
      <c r="O238" s="50">
        <v>6.9119999999999999</v>
      </c>
      <c r="R238" s="9">
        <f>IFERROR(VLOOKUP(E238,Sheet6!$A$2:$B$500,2,FALSE),0)</f>
        <v>0</v>
      </c>
      <c r="S238" s="41">
        <f>IFERROR(VLOOKUP(E238,Sheet6!$C$2:$D$35017,2,FALSE),0)</f>
        <v>0</v>
      </c>
      <c r="U238" s="9">
        <f>IFERROR(VLOOKUP(E238,Sheet2!$AA$1:$AB$975,2,FALSE),0)</f>
        <v>0</v>
      </c>
      <c r="V238" s="41">
        <f>IFERROR(VLOOKUP(E238,Sheet2!$AC$1:$AD$975,2,FALSE),0)</f>
        <v>0</v>
      </c>
      <c r="W238" s="42">
        <f>IFERROR(VLOOKUP(E238,Sheet2!$AE$1:$AF$975,2,FALSE),0)</f>
        <v>0</v>
      </c>
      <c r="X238" s="43">
        <f>IFERROR(VLOOKUP(E238,Sheet2!$AG$1:$AH$975,2,FALSE),0)</f>
        <v>0</v>
      </c>
      <c r="Z238" s="60">
        <f>IFERROR(VLOOKUP(F238,Sheet2!$AA$1:$AB$975,2,FALSE),0)</f>
        <v>0</v>
      </c>
      <c r="AA238" s="64">
        <f>IFERROR(VLOOKUP(F238,Sheet2!$AC$1:$AD$975,2,FALSE),0)</f>
        <v>0</v>
      </c>
      <c r="AB238" s="65">
        <f>IFERROR(VLOOKUP(F238,Sheet2!$AE$2:$AF$6539,2,FALSE),0)</f>
        <v>0</v>
      </c>
      <c r="AC238" s="43">
        <f>IFERROR(VLOOKUP(F238,Sheet2!$AG$2:$AH$6539,2,FALSE),0)</f>
        <v>0</v>
      </c>
      <c r="AE238" s="112">
        <v>7</v>
      </c>
      <c r="AF238" s="9">
        <v>0</v>
      </c>
      <c r="AG238" s="9">
        <v>0</v>
      </c>
      <c r="AH238" s="9">
        <v>0</v>
      </c>
      <c r="AI238" s="9">
        <v>0</v>
      </c>
      <c r="AJ238" s="9">
        <f t="shared" si="8"/>
        <v>7</v>
      </c>
      <c r="AK238" s="45">
        <f t="shared" si="9"/>
        <v>48.384</v>
      </c>
      <c r="AL238" s="68">
        <v>0</v>
      </c>
      <c r="AM238" s="68">
        <v>0</v>
      </c>
    </row>
    <row r="239" spans="1:39" x14ac:dyDescent="0.2">
      <c r="A239" s="57" t="s">
        <v>2082</v>
      </c>
      <c r="B239" s="47">
        <v>46173</v>
      </c>
      <c r="C239" s="48"/>
      <c r="D239" s="48" t="s">
        <v>1446</v>
      </c>
      <c r="E239" s="49" t="s">
        <v>492</v>
      </c>
      <c r="F239" s="49" t="s">
        <v>493</v>
      </c>
      <c r="G239" s="47" t="e">
        <v>#N/A</v>
      </c>
      <c r="H239" s="47" t="s">
        <v>94</v>
      </c>
      <c r="I239" s="9" t="s">
        <v>489</v>
      </c>
      <c r="J239" s="40" t="s">
        <v>1111</v>
      </c>
      <c r="K239" s="9" t="s">
        <v>41</v>
      </c>
      <c r="L239" s="9" t="s">
        <v>29</v>
      </c>
      <c r="M239" s="11"/>
      <c r="N239" s="11"/>
      <c r="O239" s="50">
        <v>6.9119999999999999</v>
      </c>
      <c r="R239" s="9">
        <f>IFERROR(VLOOKUP(E239,Sheet6!$A$2:$B$500,2,FALSE),0)</f>
        <v>0</v>
      </c>
      <c r="S239" s="41">
        <f>IFERROR(VLOOKUP(E239,Sheet6!$C$2:$D$35017,2,FALSE),0)</f>
        <v>0</v>
      </c>
      <c r="U239" s="9">
        <f>IFERROR(VLOOKUP(E239,Sheet2!$AA$1:$AB$975,2,FALSE),0)</f>
        <v>0</v>
      </c>
      <c r="V239" s="41">
        <f>IFERROR(VLOOKUP(E239,Sheet2!$AC$1:$AD$975,2,FALSE),0)</f>
        <v>0</v>
      </c>
      <c r="W239" s="42">
        <f>IFERROR(VLOOKUP(E239,Sheet2!$AE$1:$AF$975,2,FALSE),0)</f>
        <v>0</v>
      </c>
      <c r="X239" s="43">
        <f>IFERROR(VLOOKUP(E239,Sheet2!$AG$1:$AH$975,2,FALSE),0)</f>
        <v>0</v>
      </c>
      <c r="Z239" s="60">
        <f>IFERROR(VLOOKUP(F239,Sheet2!$AA$1:$AB$975,2,FALSE),0)</f>
        <v>0</v>
      </c>
      <c r="AA239" s="64">
        <f>IFERROR(VLOOKUP(F239,Sheet2!$AC$1:$AD$975,2,FALSE),0)</f>
        <v>0</v>
      </c>
      <c r="AB239" s="65">
        <f>IFERROR(VLOOKUP(F239,Sheet2!$AE$2:$AF$6539,2,FALSE),0)</f>
        <v>0</v>
      </c>
      <c r="AC239" s="43">
        <f>IFERROR(VLOOKUP(F239,Sheet2!$AG$2:$AH$6539,2,FALSE),0)</f>
        <v>0</v>
      </c>
      <c r="AE239" s="112">
        <v>11</v>
      </c>
      <c r="AF239" s="9">
        <v>0</v>
      </c>
      <c r="AG239" s="9">
        <v>0</v>
      </c>
      <c r="AH239" s="9">
        <v>0</v>
      </c>
      <c r="AI239" s="9">
        <v>0</v>
      </c>
      <c r="AJ239" s="9">
        <f t="shared" si="8"/>
        <v>11</v>
      </c>
      <c r="AK239" s="45">
        <f t="shared" si="9"/>
        <v>76.031999999999996</v>
      </c>
      <c r="AL239" s="68">
        <v>0</v>
      </c>
      <c r="AM239" s="68">
        <v>0</v>
      </c>
    </row>
    <row r="240" spans="1:39" x14ac:dyDescent="0.2">
      <c r="A240" s="57" t="s">
        <v>2082</v>
      </c>
      <c r="B240" s="47">
        <v>46173</v>
      </c>
      <c r="C240" s="48"/>
      <c r="D240" s="48" t="s">
        <v>1447</v>
      </c>
      <c r="E240" s="49" t="s">
        <v>494</v>
      </c>
      <c r="F240" s="49" t="s">
        <v>495</v>
      </c>
      <c r="G240" s="47" t="e">
        <v>#N/A</v>
      </c>
      <c r="H240" s="47" t="s">
        <v>94</v>
      </c>
      <c r="I240" s="9" t="s">
        <v>489</v>
      </c>
      <c r="J240" s="40" t="s">
        <v>1111</v>
      </c>
      <c r="K240" s="9" t="s">
        <v>41</v>
      </c>
      <c r="L240" s="9" t="s">
        <v>32</v>
      </c>
      <c r="M240" s="11"/>
      <c r="N240" s="11"/>
      <c r="O240" s="50">
        <v>6.9119999999999999</v>
      </c>
      <c r="R240" s="9">
        <f>IFERROR(VLOOKUP(E240,Sheet6!$A$2:$B$500,2,FALSE),0)</f>
        <v>0</v>
      </c>
      <c r="S240" s="41">
        <f>IFERROR(VLOOKUP(E240,Sheet6!$C$2:$D$35017,2,FALSE),0)</f>
        <v>0</v>
      </c>
      <c r="U240" s="9">
        <f>IFERROR(VLOOKUP(E240,Sheet2!$AA$1:$AB$975,2,FALSE),0)</f>
        <v>0</v>
      </c>
      <c r="V240" s="41">
        <f>IFERROR(VLOOKUP(E240,Sheet2!$AC$1:$AD$975,2,FALSE),0)</f>
        <v>0</v>
      </c>
      <c r="W240" s="42">
        <f>IFERROR(VLOOKUP(E240,Sheet2!$AE$1:$AF$975,2,FALSE),0)</f>
        <v>0</v>
      </c>
      <c r="X240" s="43">
        <f>IFERROR(VLOOKUP(E240,Sheet2!$AG$1:$AH$975,2,FALSE),0)</f>
        <v>0</v>
      </c>
      <c r="Z240" s="60">
        <f>IFERROR(VLOOKUP(F240,Sheet2!$AA$1:$AB$975,2,FALSE),0)</f>
        <v>0</v>
      </c>
      <c r="AA240" s="64">
        <f>IFERROR(VLOOKUP(F240,Sheet2!$AC$1:$AD$975,2,FALSE),0)</f>
        <v>0</v>
      </c>
      <c r="AB240" s="65">
        <f>IFERROR(VLOOKUP(F240,Sheet2!$AE$2:$AF$6539,2,FALSE),0)</f>
        <v>0</v>
      </c>
      <c r="AC240" s="43">
        <f>IFERROR(VLOOKUP(F240,Sheet2!$AG$2:$AH$6539,2,FALSE),0)</f>
        <v>0</v>
      </c>
      <c r="AE240" s="112">
        <v>15</v>
      </c>
      <c r="AF240" s="9">
        <v>0</v>
      </c>
      <c r="AG240" s="9">
        <v>0</v>
      </c>
      <c r="AH240" s="9">
        <v>0</v>
      </c>
      <c r="AI240" s="9">
        <v>0</v>
      </c>
      <c r="AJ240" s="9">
        <f t="shared" si="8"/>
        <v>15</v>
      </c>
      <c r="AK240" s="45">
        <f t="shared" si="9"/>
        <v>103.67999999999999</v>
      </c>
      <c r="AL240" s="68">
        <v>0</v>
      </c>
      <c r="AM240" s="68">
        <v>0</v>
      </c>
    </row>
    <row r="241" spans="1:39" x14ac:dyDescent="0.2">
      <c r="A241" s="57" t="s">
        <v>2082</v>
      </c>
      <c r="B241" s="47">
        <v>46173</v>
      </c>
      <c r="C241" s="48"/>
      <c r="D241" s="48" t="s">
        <v>1448</v>
      </c>
      <c r="E241" s="49" t="s">
        <v>496</v>
      </c>
      <c r="F241" s="49" t="s">
        <v>497</v>
      </c>
      <c r="G241" s="47" t="e">
        <v>#N/A</v>
      </c>
      <c r="H241" s="47" t="s">
        <v>94</v>
      </c>
      <c r="I241" s="40" t="s">
        <v>498</v>
      </c>
      <c r="J241" s="40" t="s">
        <v>1112</v>
      </c>
      <c r="K241" s="40" t="s">
        <v>24</v>
      </c>
      <c r="L241" s="40" t="s">
        <v>29</v>
      </c>
      <c r="M241" s="11"/>
      <c r="N241" s="11"/>
      <c r="O241" s="50">
        <v>6.48</v>
      </c>
      <c r="R241" s="9">
        <f>IFERROR(VLOOKUP(E241,Sheet6!$A$2:$B$500,2,FALSE),0)</f>
        <v>0</v>
      </c>
      <c r="S241" s="41">
        <f>IFERROR(VLOOKUP(E241,Sheet6!$C$2:$D$35017,2,FALSE),0)</f>
        <v>0</v>
      </c>
      <c r="U241" s="9">
        <f>IFERROR(VLOOKUP(E241,Sheet2!$AA$1:$AB$975,2,FALSE),0)</f>
        <v>4</v>
      </c>
      <c r="V241" s="41">
        <f>IFERROR(VLOOKUP(E241,Sheet2!$AC$1:$AD$975,2,FALSE),0)</f>
        <v>60</v>
      </c>
      <c r="W241" s="42">
        <f>IFERROR(VLOOKUP(E241,Sheet2!$AE$1:$AF$975,2,FALSE),0)</f>
        <v>17</v>
      </c>
      <c r="X241" s="43">
        <f>IFERROR(VLOOKUP(E241,Sheet2!$AG$1:$AH$975,2,FALSE),0)</f>
        <v>0.90910000000000002</v>
      </c>
      <c r="Z241" s="60">
        <f>IFERROR(VLOOKUP(F241,Sheet2!$AA$1:$AB$975,2,FALSE),0)</f>
        <v>0</v>
      </c>
      <c r="AA241" s="64">
        <f>IFERROR(VLOOKUP(F241,Sheet2!$AC$1:$AD$975,2,FALSE),0)</f>
        <v>0</v>
      </c>
      <c r="AB241" s="65">
        <f>IFERROR(VLOOKUP(F241,Sheet2!$AE$2:$AF$6539,2,FALSE),0)</f>
        <v>0</v>
      </c>
      <c r="AC241" s="43">
        <f>IFERROR(VLOOKUP(F241,Sheet2!$AG$2:$AH$6539,2,FALSE),0)</f>
        <v>0</v>
      </c>
      <c r="AE241" s="112">
        <v>53</v>
      </c>
      <c r="AF241" s="9">
        <v>0</v>
      </c>
      <c r="AG241" s="9">
        <v>0</v>
      </c>
      <c r="AH241" s="9">
        <v>0</v>
      </c>
      <c r="AI241" s="9">
        <v>0</v>
      </c>
      <c r="AJ241" s="9">
        <f t="shared" si="8"/>
        <v>53</v>
      </c>
      <c r="AK241" s="45">
        <f t="shared" si="9"/>
        <v>343.44</v>
      </c>
      <c r="AL241" s="68">
        <v>0</v>
      </c>
      <c r="AM241" s="68">
        <v>30</v>
      </c>
    </row>
    <row r="242" spans="1:39" x14ac:dyDescent="0.2">
      <c r="A242" s="57" t="s">
        <v>2082</v>
      </c>
      <c r="B242" s="47">
        <v>46173</v>
      </c>
      <c r="C242" s="48"/>
      <c r="D242" s="48" t="s">
        <v>1449</v>
      </c>
      <c r="E242" s="49" t="s">
        <v>499</v>
      </c>
      <c r="F242" s="49" t="s">
        <v>500</v>
      </c>
      <c r="G242" s="47" t="e">
        <v>#N/A</v>
      </c>
      <c r="H242" s="47" t="s">
        <v>94</v>
      </c>
      <c r="I242" s="40" t="s">
        <v>498</v>
      </c>
      <c r="J242" s="40" t="s">
        <v>1112</v>
      </c>
      <c r="K242" s="40" t="s">
        <v>24</v>
      </c>
      <c r="L242" s="40" t="s">
        <v>32</v>
      </c>
      <c r="M242" s="11"/>
      <c r="N242" s="11"/>
      <c r="O242" s="50">
        <v>6.48</v>
      </c>
      <c r="R242" s="9">
        <f>IFERROR(VLOOKUP(E242,Sheet6!$A$2:$B$500,2,FALSE),0)</f>
        <v>0</v>
      </c>
      <c r="S242" s="41">
        <f>IFERROR(VLOOKUP(E242,Sheet6!$C$2:$D$35017,2,FALSE),0)</f>
        <v>0</v>
      </c>
      <c r="U242" s="9">
        <f>IFERROR(VLOOKUP(E242,Sheet2!$AA$1:$AB$975,2,FALSE),0)</f>
        <v>13</v>
      </c>
      <c r="V242" s="41">
        <f>IFERROR(VLOOKUP(E242,Sheet2!$AC$1:$AD$975,2,FALSE),0)</f>
        <v>195</v>
      </c>
      <c r="W242" s="42">
        <f>IFERROR(VLOOKUP(E242,Sheet2!$AE$1:$AF$975,2,FALSE),0)</f>
        <v>118</v>
      </c>
      <c r="X242" s="43">
        <f>IFERROR(VLOOKUP(E242,Sheet2!$AG$1:$AH$975,2,FALSE),0)</f>
        <v>0.98670000000000002</v>
      </c>
      <c r="Z242" s="60">
        <f>IFERROR(VLOOKUP(F242,Sheet2!$AA$1:$AB$975,2,FALSE),0)</f>
        <v>0</v>
      </c>
      <c r="AA242" s="64">
        <f>IFERROR(VLOOKUP(F242,Sheet2!$AC$1:$AD$975,2,FALSE),0)</f>
        <v>0</v>
      </c>
      <c r="AB242" s="65">
        <f>IFERROR(VLOOKUP(F242,Sheet2!$AE$2:$AF$6539,2,FALSE),0)</f>
        <v>0</v>
      </c>
      <c r="AC242" s="43">
        <f>IFERROR(VLOOKUP(F242,Sheet2!$AG$2:$AH$6539,2,FALSE),0)</f>
        <v>0</v>
      </c>
      <c r="AE242" s="112">
        <v>61</v>
      </c>
      <c r="AF242" s="9">
        <v>0</v>
      </c>
      <c r="AG242" s="9">
        <v>0</v>
      </c>
      <c r="AH242" s="9">
        <v>0</v>
      </c>
      <c r="AI242" s="9">
        <v>0</v>
      </c>
      <c r="AJ242" s="9">
        <f t="shared" si="8"/>
        <v>61</v>
      </c>
      <c r="AK242" s="45">
        <f t="shared" si="9"/>
        <v>395.28000000000003</v>
      </c>
      <c r="AL242" s="68">
        <v>0</v>
      </c>
      <c r="AM242" s="68">
        <v>0</v>
      </c>
    </row>
    <row r="243" spans="1:39" x14ac:dyDescent="0.2">
      <c r="A243" s="57" t="s">
        <v>2082</v>
      </c>
      <c r="B243" s="47">
        <v>46173</v>
      </c>
      <c r="C243" s="48"/>
      <c r="D243" s="48" t="s">
        <v>1450</v>
      </c>
      <c r="E243" s="49" t="s">
        <v>501</v>
      </c>
      <c r="F243" s="49" t="s">
        <v>502</v>
      </c>
      <c r="G243" s="47" t="e">
        <v>#N/A</v>
      </c>
      <c r="H243" s="47" t="s">
        <v>22</v>
      </c>
      <c r="I243" s="40" t="s">
        <v>498</v>
      </c>
      <c r="J243" s="40" t="s">
        <v>1112</v>
      </c>
      <c r="K243" s="40" t="s">
        <v>24</v>
      </c>
      <c r="L243" s="40" t="s">
        <v>35</v>
      </c>
      <c r="M243" s="11"/>
      <c r="N243" s="11"/>
      <c r="O243" s="50">
        <v>6.48</v>
      </c>
      <c r="R243" s="9">
        <f>IFERROR(VLOOKUP(E243,Sheet6!$A$2:$B$500,2,FALSE),0)</f>
        <v>0</v>
      </c>
      <c r="S243" s="41">
        <f>IFERROR(VLOOKUP(E243,Sheet6!$C$2:$D$35017,2,FALSE),0)</f>
        <v>0</v>
      </c>
      <c r="U243" s="9">
        <f>IFERROR(VLOOKUP(E243,Sheet2!$AA$1:$AB$975,2,FALSE),0)</f>
        <v>0</v>
      </c>
      <c r="V243" s="41">
        <f>IFERROR(VLOOKUP(E243,Sheet2!$AC$1:$AD$975,2,FALSE),0)</f>
        <v>0</v>
      </c>
      <c r="W243" s="42">
        <f>IFERROR(VLOOKUP(E243,Sheet2!$AE$1:$AF$975,2,FALSE),0)</f>
        <v>0</v>
      </c>
      <c r="X243" s="43">
        <f>IFERROR(VLOOKUP(E243,Sheet2!$AG$1:$AH$975,2,FALSE),0)</f>
        <v>0</v>
      </c>
      <c r="Z243" s="60">
        <f>IFERROR(VLOOKUP(F243,Sheet2!$AA$1:$AB$975,2,FALSE),0)</f>
        <v>0</v>
      </c>
      <c r="AA243" s="64">
        <f>IFERROR(VLOOKUP(F243,Sheet2!$AC$1:$AD$975,2,FALSE),0)</f>
        <v>0</v>
      </c>
      <c r="AB243" s="65">
        <f>IFERROR(VLOOKUP(F243,Sheet2!$AE$2:$AF$6539,2,FALSE),0)</f>
        <v>0</v>
      </c>
      <c r="AC243" s="43">
        <f>IFERROR(VLOOKUP(F243,Sheet2!$AG$2:$AH$6539,2,FALSE),0)</f>
        <v>0</v>
      </c>
      <c r="AE243" s="112">
        <v>45</v>
      </c>
      <c r="AF243" s="9">
        <v>0</v>
      </c>
      <c r="AG243" s="9">
        <v>0</v>
      </c>
      <c r="AH243" s="9">
        <v>0</v>
      </c>
      <c r="AI243" s="9">
        <v>0</v>
      </c>
      <c r="AJ243" s="9">
        <f t="shared" si="8"/>
        <v>45</v>
      </c>
      <c r="AK243" s="45">
        <f t="shared" si="9"/>
        <v>291.60000000000002</v>
      </c>
      <c r="AL243" s="68">
        <v>0</v>
      </c>
      <c r="AM243" s="68">
        <v>0</v>
      </c>
    </row>
    <row r="244" spans="1:39" x14ac:dyDescent="0.2">
      <c r="A244" s="57" t="s">
        <v>2082</v>
      </c>
      <c r="B244" s="47">
        <v>46173</v>
      </c>
      <c r="C244" s="48"/>
      <c r="D244" s="48" t="s">
        <v>1451</v>
      </c>
      <c r="E244" s="49" t="s">
        <v>503</v>
      </c>
      <c r="F244" s="49" t="s">
        <v>504</v>
      </c>
      <c r="G244" s="47" t="e">
        <v>#N/A</v>
      </c>
      <c r="H244" s="47" t="s">
        <v>22</v>
      </c>
      <c r="I244" s="40" t="s">
        <v>498</v>
      </c>
      <c r="J244" s="40" t="s">
        <v>1112</v>
      </c>
      <c r="K244" s="40" t="s">
        <v>41</v>
      </c>
      <c r="L244" s="40" t="s">
        <v>29</v>
      </c>
      <c r="M244" s="11"/>
      <c r="N244" s="11"/>
      <c r="O244" s="50">
        <v>6.48</v>
      </c>
      <c r="R244" s="9">
        <f>IFERROR(VLOOKUP(E244,Sheet6!$A$2:$B$500,2,FALSE),0)</f>
        <v>0</v>
      </c>
      <c r="S244" s="41">
        <f>IFERROR(VLOOKUP(E244,Sheet6!$C$2:$D$35017,2,FALSE),0)</f>
        <v>0</v>
      </c>
      <c r="U244" s="9">
        <f>IFERROR(VLOOKUP(E244,Sheet2!$AA$1:$AB$975,2,FALSE),0)</f>
        <v>0</v>
      </c>
      <c r="V244" s="41">
        <f>IFERROR(VLOOKUP(E244,Sheet2!$AC$1:$AD$975,2,FALSE),0)</f>
        <v>0</v>
      </c>
      <c r="W244" s="42">
        <f>IFERROR(VLOOKUP(E244,Sheet2!$AE$1:$AF$975,2,FALSE),0)</f>
        <v>0</v>
      </c>
      <c r="X244" s="43">
        <f>IFERROR(VLOOKUP(E244,Sheet2!$AG$1:$AH$975,2,FALSE),0)</f>
        <v>0</v>
      </c>
      <c r="Z244" s="60">
        <f>IFERROR(VLOOKUP(F244,Sheet2!$AA$1:$AB$975,2,FALSE),0)</f>
        <v>0</v>
      </c>
      <c r="AA244" s="64">
        <f>IFERROR(VLOOKUP(F244,Sheet2!$AC$1:$AD$975,2,FALSE),0)</f>
        <v>0</v>
      </c>
      <c r="AB244" s="65">
        <f>IFERROR(VLOOKUP(F244,Sheet2!$AE$2:$AF$6539,2,FALSE),0)</f>
        <v>0</v>
      </c>
      <c r="AC244" s="43">
        <f>IFERROR(VLOOKUP(F244,Sheet2!$AG$2:$AH$6539,2,FALSE),0)</f>
        <v>0</v>
      </c>
      <c r="AE244" s="112">
        <v>56</v>
      </c>
      <c r="AF244" s="9">
        <v>0</v>
      </c>
      <c r="AG244" s="9">
        <v>0</v>
      </c>
      <c r="AH244" s="9">
        <v>0</v>
      </c>
      <c r="AI244" s="9">
        <v>0</v>
      </c>
      <c r="AJ244" s="9">
        <f t="shared" si="8"/>
        <v>56</v>
      </c>
      <c r="AK244" s="45">
        <f t="shared" si="9"/>
        <v>362.88</v>
      </c>
      <c r="AL244" s="68">
        <v>0</v>
      </c>
      <c r="AM244" s="68">
        <v>0</v>
      </c>
    </row>
    <row r="245" spans="1:39" x14ac:dyDescent="0.2">
      <c r="A245" s="57" t="s">
        <v>2082</v>
      </c>
      <c r="B245" s="47">
        <v>46173</v>
      </c>
      <c r="C245" s="48"/>
      <c r="D245" s="48" t="s">
        <v>1452</v>
      </c>
      <c r="E245" s="49" t="s">
        <v>505</v>
      </c>
      <c r="F245" s="49" t="s">
        <v>506</v>
      </c>
      <c r="G245" s="47" t="e">
        <v>#N/A</v>
      </c>
      <c r="H245" s="47" t="s">
        <v>22</v>
      </c>
      <c r="I245" s="40" t="s">
        <v>498</v>
      </c>
      <c r="J245" s="40" t="s">
        <v>1112</v>
      </c>
      <c r="K245" s="40" t="s">
        <v>41</v>
      </c>
      <c r="L245" s="40" t="s">
        <v>32</v>
      </c>
      <c r="M245" s="11"/>
      <c r="N245" s="11"/>
      <c r="O245" s="50">
        <v>6.48</v>
      </c>
      <c r="R245" s="9">
        <f>IFERROR(VLOOKUP(E245,Sheet6!$A$2:$B$500,2,FALSE),0)</f>
        <v>3</v>
      </c>
      <c r="S245" s="41">
        <f>IFERROR(VLOOKUP(E245,Sheet6!$C$2:$D$35017,2,FALSE),0)</f>
        <v>45</v>
      </c>
      <c r="U245" s="9">
        <f>IFERROR(VLOOKUP(E245,Sheet2!$AA$1:$AB$975,2,FALSE),0)</f>
        <v>0</v>
      </c>
      <c r="V245" s="41">
        <f>IFERROR(VLOOKUP(E245,Sheet2!$AC$1:$AD$975,2,FALSE),0)</f>
        <v>0</v>
      </c>
      <c r="W245" s="42">
        <f>IFERROR(VLOOKUP(E245,Sheet2!$AE$1:$AF$975,2,FALSE),0)</f>
        <v>0</v>
      </c>
      <c r="X245" s="43">
        <f>IFERROR(VLOOKUP(E245,Sheet2!$AG$1:$AH$975,2,FALSE),0)</f>
        <v>0</v>
      </c>
      <c r="Z245" s="60">
        <f>IFERROR(VLOOKUP(F245,Sheet2!$AA$1:$AB$975,2,FALSE),0)</f>
        <v>0</v>
      </c>
      <c r="AA245" s="64">
        <f>IFERROR(VLOOKUP(F245,Sheet2!$AC$1:$AD$975,2,FALSE),0)</f>
        <v>0</v>
      </c>
      <c r="AB245" s="65">
        <f>IFERROR(VLOOKUP(F245,Sheet2!$AE$2:$AF$6539,2,FALSE),0)</f>
        <v>0</v>
      </c>
      <c r="AC245" s="43">
        <f>IFERROR(VLOOKUP(F245,Sheet2!$AG$2:$AH$6539,2,FALSE),0)</f>
        <v>0</v>
      </c>
      <c r="AE245" s="112">
        <v>110</v>
      </c>
      <c r="AF245" s="9">
        <v>0</v>
      </c>
      <c r="AG245" s="9">
        <v>0</v>
      </c>
      <c r="AH245" s="9">
        <v>0</v>
      </c>
      <c r="AI245" s="9">
        <v>0</v>
      </c>
      <c r="AJ245" s="9">
        <f t="shared" si="8"/>
        <v>110</v>
      </c>
      <c r="AK245" s="45">
        <f t="shared" si="9"/>
        <v>712.80000000000007</v>
      </c>
      <c r="AL245" s="68">
        <v>0</v>
      </c>
      <c r="AM245" s="68">
        <v>0</v>
      </c>
    </row>
    <row r="246" spans="1:39" x14ac:dyDescent="0.2">
      <c r="A246" s="57" t="s">
        <v>2082</v>
      </c>
      <c r="B246" s="47">
        <v>46173</v>
      </c>
      <c r="C246" s="48"/>
      <c r="D246" s="48" t="s">
        <v>1453</v>
      </c>
      <c r="E246" s="49" t="s">
        <v>1026</v>
      </c>
      <c r="F246" s="49" t="s">
        <v>1086</v>
      </c>
      <c r="G246" s="47" t="e">
        <v>#N/A</v>
      </c>
      <c r="H246" s="47" t="s">
        <v>22</v>
      </c>
      <c r="I246" s="9" t="s">
        <v>498</v>
      </c>
      <c r="J246" s="40" t="s">
        <v>1112</v>
      </c>
      <c r="K246" s="9" t="s">
        <v>41</v>
      </c>
      <c r="L246" s="9" t="s">
        <v>35</v>
      </c>
      <c r="M246" s="11"/>
      <c r="N246" s="11"/>
      <c r="O246" s="50">
        <v>6.48</v>
      </c>
      <c r="R246" s="9">
        <f>IFERROR(VLOOKUP(E246,Sheet6!$A$2:$B$500,2,FALSE),0)</f>
        <v>0</v>
      </c>
      <c r="S246" s="41">
        <f>IFERROR(VLOOKUP(E246,Sheet6!$C$2:$D$35017,2,FALSE),0)</f>
        <v>0</v>
      </c>
      <c r="U246" s="9">
        <f>IFERROR(VLOOKUP(E246,Sheet2!$AA$1:$AB$975,2,FALSE),0)</f>
        <v>0</v>
      </c>
      <c r="V246" s="41">
        <f>IFERROR(VLOOKUP(E246,Sheet2!$AC$1:$AD$975,2,FALSE),0)</f>
        <v>0</v>
      </c>
      <c r="W246" s="42">
        <f>IFERROR(VLOOKUP(E246,Sheet2!$AE$1:$AF$975,2,FALSE),0)</f>
        <v>0</v>
      </c>
      <c r="X246" s="43">
        <f>IFERROR(VLOOKUP(E246,Sheet2!$AG$1:$AH$975,2,FALSE),0)</f>
        <v>0</v>
      </c>
      <c r="Z246" s="60">
        <f>IFERROR(VLOOKUP(F246,Sheet2!$AA$1:$AB$975,2,FALSE),0)</f>
        <v>0</v>
      </c>
      <c r="AA246" s="64">
        <f>IFERROR(VLOOKUP(F246,Sheet2!$AC$1:$AD$975,2,FALSE),0)</f>
        <v>0</v>
      </c>
      <c r="AB246" s="65">
        <f>IFERROR(VLOOKUP(F246,Sheet2!$AE$2:$AF$6539,2,FALSE),0)</f>
        <v>0</v>
      </c>
      <c r="AC246" s="43">
        <f>IFERROR(VLOOKUP(F246,Sheet2!$AG$2:$AH$6539,2,FALSE),0)</f>
        <v>0</v>
      </c>
      <c r="AE246" s="112">
        <v>5</v>
      </c>
      <c r="AF246" s="9">
        <v>0</v>
      </c>
      <c r="AG246" s="9">
        <v>0</v>
      </c>
      <c r="AH246" s="9">
        <v>0</v>
      </c>
      <c r="AI246" s="9">
        <v>0</v>
      </c>
      <c r="AJ246" s="9">
        <f t="shared" si="8"/>
        <v>5</v>
      </c>
      <c r="AK246" s="45">
        <f t="shared" si="9"/>
        <v>32.400000000000006</v>
      </c>
      <c r="AL246" s="68">
        <v>0</v>
      </c>
      <c r="AM246" s="68">
        <v>0</v>
      </c>
    </row>
    <row r="247" spans="1:39" x14ac:dyDescent="0.2">
      <c r="A247" s="57" t="s">
        <v>2082</v>
      </c>
      <c r="B247" s="47">
        <v>46173</v>
      </c>
      <c r="C247" s="48"/>
      <c r="D247" s="48" t="s">
        <v>1454</v>
      </c>
      <c r="E247" s="49" t="s">
        <v>507</v>
      </c>
      <c r="F247" s="49" t="s">
        <v>508</v>
      </c>
      <c r="G247" s="47" t="e">
        <v>#N/A</v>
      </c>
      <c r="H247" s="47" t="s">
        <v>22</v>
      </c>
      <c r="I247" s="9" t="s">
        <v>509</v>
      </c>
      <c r="J247" s="40" t="s">
        <v>1759</v>
      </c>
      <c r="K247" s="9" t="s">
        <v>195</v>
      </c>
      <c r="L247" s="9" t="s">
        <v>32</v>
      </c>
      <c r="M247" s="11"/>
      <c r="N247" s="11"/>
      <c r="O247" s="50">
        <v>6.48</v>
      </c>
      <c r="R247" s="9">
        <f>IFERROR(VLOOKUP(E247,Sheet6!$A$2:$B$500,2,FALSE),0)</f>
        <v>0</v>
      </c>
      <c r="S247" s="41">
        <f>IFERROR(VLOOKUP(E247,Sheet6!$C$2:$D$35017,2,FALSE),0)</f>
        <v>0</v>
      </c>
      <c r="U247" s="9">
        <f>IFERROR(VLOOKUP(E247,Sheet2!$AA$1:$AB$975,2,FALSE),0)</f>
        <v>0</v>
      </c>
      <c r="V247" s="41">
        <f>IFERROR(VLOOKUP(E247,Sheet2!$AC$1:$AD$975,2,FALSE),0)</f>
        <v>0</v>
      </c>
      <c r="W247" s="42">
        <f>IFERROR(VLOOKUP(E247,Sheet2!$AE$1:$AF$975,2,FALSE),0)</f>
        <v>0</v>
      </c>
      <c r="X247" s="43">
        <f>IFERROR(VLOOKUP(E247,Sheet2!$AG$1:$AH$975,2,FALSE),0)</f>
        <v>0</v>
      </c>
      <c r="Z247" s="60">
        <f>IFERROR(VLOOKUP(F247,Sheet2!$AA$1:$AB$975,2,FALSE),0)</f>
        <v>0</v>
      </c>
      <c r="AA247" s="64">
        <f>IFERROR(VLOOKUP(F247,Sheet2!$AC$1:$AD$975,2,FALSE),0)</f>
        <v>0</v>
      </c>
      <c r="AB247" s="65">
        <f>IFERROR(VLOOKUP(F247,Sheet2!$AE$2:$AF$6539,2,FALSE),0)</f>
        <v>0</v>
      </c>
      <c r="AC247" s="43">
        <f>IFERROR(VLOOKUP(F247,Sheet2!$AG$2:$AH$6539,2,FALSE),0)</f>
        <v>0</v>
      </c>
      <c r="AE247" s="112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f t="shared" si="8"/>
        <v>0</v>
      </c>
      <c r="AK247" s="45">
        <f t="shared" si="9"/>
        <v>0</v>
      </c>
      <c r="AL247" s="68">
        <v>0</v>
      </c>
      <c r="AM247" s="68">
        <v>0</v>
      </c>
    </row>
    <row r="248" spans="1:39" x14ac:dyDescent="0.2">
      <c r="A248" s="57" t="s">
        <v>2082</v>
      </c>
      <c r="B248" s="47">
        <v>46173</v>
      </c>
      <c r="C248" s="48"/>
      <c r="D248" s="48" t="s">
        <v>1455</v>
      </c>
      <c r="E248" s="49" t="s">
        <v>510</v>
      </c>
      <c r="F248" s="49" t="s">
        <v>511</v>
      </c>
      <c r="G248" s="47" t="e">
        <v>#N/A</v>
      </c>
      <c r="H248" s="47" t="s">
        <v>22</v>
      </c>
      <c r="I248" s="9" t="s">
        <v>509</v>
      </c>
      <c r="J248" s="40" t="s">
        <v>1759</v>
      </c>
      <c r="K248" s="40" t="s">
        <v>24</v>
      </c>
      <c r="L248" s="40" t="s">
        <v>32</v>
      </c>
      <c r="M248" s="11"/>
      <c r="N248" s="11"/>
      <c r="O248" s="50">
        <v>6.48</v>
      </c>
      <c r="R248" s="9">
        <f>IFERROR(VLOOKUP(E248,Sheet6!$A$2:$B$500,2,FALSE),0)</f>
        <v>0</v>
      </c>
      <c r="S248" s="41">
        <f>IFERROR(VLOOKUP(E248,Sheet6!$C$2:$D$35017,2,FALSE),0)</f>
        <v>0</v>
      </c>
      <c r="U248" s="9">
        <f>IFERROR(VLOOKUP(E248,Sheet2!$AA$1:$AB$975,2,FALSE),0)</f>
        <v>0</v>
      </c>
      <c r="V248" s="41">
        <f>IFERROR(VLOOKUP(E248,Sheet2!$AC$1:$AD$975,2,FALSE),0)</f>
        <v>0</v>
      </c>
      <c r="W248" s="42">
        <f>IFERROR(VLOOKUP(E248,Sheet2!$AE$1:$AF$975,2,FALSE),0)</f>
        <v>0</v>
      </c>
      <c r="X248" s="43">
        <f>IFERROR(VLOOKUP(E248,Sheet2!$AG$1:$AH$975,2,FALSE),0)</f>
        <v>0</v>
      </c>
      <c r="Z248" s="60">
        <f>IFERROR(VLOOKUP(F248,Sheet2!$AA$1:$AB$975,2,FALSE),0)</f>
        <v>0</v>
      </c>
      <c r="AA248" s="64">
        <f>IFERROR(VLOOKUP(F248,Sheet2!$AC$1:$AD$975,2,FALSE),0)</f>
        <v>0</v>
      </c>
      <c r="AB248" s="65">
        <f>IFERROR(VLOOKUP(F248,Sheet2!$AE$2:$AF$6539,2,FALSE),0)</f>
        <v>0</v>
      </c>
      <c r="AC248" s="43">
        <f>IFERROR(VLOOKUP(F248,Sheet2!$AG$2:$AH$6539,2,FALSE),0)</f>
        <v>0</v>
      </c>
      <c r="AE248" s="112">
        <v>0</v>
      </c>
      <c r="AF248" s="9">
        <v>0</v>
      </c>
      <c r="AG248" s="9">
        <v>0</v>
      </c>
      <c r="AH248" s="9">
        <v>0</v>
      </c>
      <c r="AI248" s="9">
        <v>0</v>
      </c>
      <c r="AJ248" s="9">
        <f t="shared" si="8"/>
        <v>0</v>
      </c>
      <c r="AK248" s="45">
        <f t="shared" si="9"/>
        <v>0</v>
      </c>
      <c r="AL248" s="68">
        <v>0</v>
      </c>
      <c r="AM248" s="68">
        <v>0</v>
      </c>
    </row>
    <row r="249" spans="1:39" x14ac:dyDescent="0.2">
      <c r="A249" s="57" t="s">
        <v>2082</v>
      </c>
      <c r="B249" s="47">
        <v>46173</v>
      </c>
      <c r="C249" s="48"/>
      <c r="D249" s="48" t="s">
        <v>1456</v>
      </c>
      <c r="E249" s="49" t="s">
        <v>512</v>
      </c>
      <c r="F249" s="49" t="s">
        <v>513</v>
      </c>
      <c r="G249" s="47" t="e">
        <v>#N/A</v>
      </c>
      <c r="H249" s="47" t="s">
        <v>22</v>
      </c>
      <c r="I249" s="40" t="s">
        <v>514</v>
      </c>
      <c r="J249" s="40" t="s">
        <v>1834</v>
      </c>
      <c r="K249" s="40" t="s">
        <v>24</v>
      </c>
      <c r="L249" s="40" t="s">
        <v>32</v>
      </c>
      <c r="M249" s="11"/>
      <c r="N249" s="11"/>
      <c r="O249" s="50">
        <v>6.9119999999999999</v>
      </c>
      <c r="R249" s="9">
        <f>IFERROR(VLOOKUP(E249,Sheet6!$A$2:$B$500,2,FALSE),0)</f>
        <v>0</v>
      </c>
      <c r="S249" s="41">
        <f>IFERROR(VLOOKUP(E249,Sheet6!$C$2:$D$35017,2,FALSE),0)</f>
        <v>0</v>
      </c>
      <c r="U249" s="9">
        <f>IFERROR(VLOOKUP(E249,Sheet2!$AA$1:$AB$975,2,FALSE),0)</f>
        <v>0</v>
      </c>
      <c r="V249" s="41">
        <f>IFERROR(VLOOKUP(E249,Sheet2!$AC$1:$AD$975,2,FALSE),0)</f>
        <v>0</v>
      </c>
      <c r="W249" s="42">
        <f>IFERROR(VLOOKUP(E249,Sheet2!$AE$1:$AF$975,2,FALSE),0)</f>
        <v>0</v>
      </c>
      <c r="X249" s="43">
        <f>IFERROR(VLOOKUP(E249,Sheet2!$AG$1:$AH$975,2,FALSE),0)</f>
        <v>0</v>
      </c>
      <c r="Z249" s="60">
        <f>IFERROR(VLOOKUP(F249,Sheet2!$AA$1:$AB$975,2,FALSE),0)</f>
        <v>0</v>
      </c>
      <c r="AA249" s="64">
        <f>IFERROR(VLOOKUP(F249,Sheet2!$AC$1:$AD$975,2,FALSE),0)</f>
        <v>0</v>
      </c>
      <c r="AB249" s="65">
        <f>IFERROR(VLOOKUP(F249,Sheet2!$AE$2:$AF$6539,2,FALSE),0)</f>
        <v>0</v>
      </c>
      <c r="AC249" s="43">
        <f>IFERROR(VLOOKUP(F249,Sheet2!$AG$2:$AH$6539,2,FALSE),0)</f>
        <v>0</v>
      </c>
      <c r="AE249" s="112">
        <v>0</v>
      </c>
      <c r="AF249" s="9">
        <v>0</v>
      </c>
      <c r="AG249" s="9">
        <v>0</v>
      </c>
      <c r="AH249" s="9">
        <v>0</v>
      </c>
      <c r="AI249" s="9">
        <v>0</v>
      </c>
      <c r="AJ249" s="9">
        <f t="shared" si="8"/>
        <v>0</v>
      </c>
      <c r="AK249" s="45">
        <f t="shared" si="9"/>
        <v>0</v>
      </c>
      <c r="AL249" s="68">
        <v>0</v>
      </c>
      <c r="AM249" s="68">
        <v>12</v>
      </c>
    </row>
    <row r="250" spans="1:39" x14ac:dyDescent="0.2">
      <c r="A250" s="57" t="s">
        <v>2082</v>
      </c>
      <c r="B250" s="47">
        <v>46173</v>
      </c>
      <c r="C250" s="48"/>
      <c r="D250" s="48" t="s">
        <v>1457</v>
      </c>
      <c r="E250" s="49" t="s">
        <v>515</v>
      </c>
      <c r="F250" s="49" t="s">
        <v>516</v>
      </c>
      <c r="G250" s="47" t="e">
        <v>#N/A</v>
      </c>
      <c r="H250" s="47" t="s">
        <v>22</v>
      </c>
      <c r="I250" s="40" t="s">
        <v>514</v>
      </c>
      <c r="J250" s="40" t="s">
        <v>1834</v>
      </c>
      <c r="K250" s="40" t="s">
        <v>41</v>
      </c>
      <c r="L250" s="40" t="s">
        <v>32</v>
      </c>
      <c r="M250" s="11"/>
      <c r="N250" s="11"/>
      <c r="O250" s="50">
        <v>6.9119999999999999</v>
      </c>
      <c r="R250" s="9">
        <f>IFERROR(VLOOKUP(E250,Sheet6!$A$2:$B$500,2,FALSE),0)</f>
        <v>0</v>
      </c>
      <c r="S250" s="41">
        <f>IFERROR(VLOOKUP(E250,Sheet6!$C$2:$D$35017,2,FALSE),0)</f>
        <v>0</v>
      </c>
      <c r="U250" s="9">
        <f>IFERROR(VLOOKUP(E250,Sheet2!$AA$1:$AB$975,2,FALSE),0)</f>
        <v>9</v>
      </c>
      <c r="V250" s="41">
        <f>IFERROR(VLOOKUP(E250,Sheet2!$AC$1:$AD$975,2,FALSE),0)</f>
        <v>144</v>
      </c>
      <c r="W250" s="42">
        <f>IFERROR(VLOOKUP(E250,Sheet2!$AE$1:$AF$975,2,FALSE),0)</f>
        <v>38</v>
      </c>
      <c r="X250" s="43">
        <f>IFERROR(VLOOKUP(E250,Sheet2!$AG$1:$AH$975,2,FALSE),0)</f>
        <v>1</v>
      </c>
      <c r="Z250" s="60">
        <f>IFERROR(VLOOKUP(F250,Sheet2!$AA$1:$AB$975,2,FALSE),0)</f>
        <v>0</v>
      </c>
      <c r="AA250" s="64">
        <f>IFERROR(VLOOKUP(F250,Sheet2!$AC$1:$AD$975,2,FALSE),0)</f>
        <v>0</v>
      </c>
      <c r="AB250" s="65">
        <f>IFERROR(VLOOKUP(F250,Sheet2!$AE$2:$AF$6539,2,FALSE),0)</f>
        <v>0</v>
      </c>
      <c r="AC250" s="43">
        <f>IFERROR(VLOOKUP(F250,Sheet2!$AG$2:$AH$6539,2,FALSE),0)</f>
        <v>0</v>
      </c>
      <c r="AE250" s="112">
        <v>12</v>
      </c>
      <c r="AF250" s="9">
        <v>0</v>
      </c>
      <c r="AG250" s="9">
        <v>0</v>
      </c>
      <c r="AH250" s="9">
        <v>0</v>
      </c>
      <c r="AI250" s="9">
        <v>0</v>
      </c>
      <c r="AJ250" s="9">
        <f t="shared" si="8"/>
        <v>12</v>
      </c>
      <c r="AK250" s="45">
        <f t="shared" si="9"/>
        <v>82.944000000000003</v>
      </c>
      <c r="AL250" s="68">
        <v>0</v>
      </c>
      <c r="AM250" s="68">
        <v>12</v>
      </c>
    </row>
    <row r="251" spans="1:39" x14ac:dyDescent="0.2">
      <c r="A251" s="57" t="s">
        <v>2082</v>
      </c>
      <c r="B251" s="47">
        <v>46173</v>
      </c>
      <c r="C251" s="48"/>
      <c r="D251" s="48" t="s">
        <v>1458</v>
      </c>
      <c r="E251" s="49" t="s">
        <v>517</v>
      </c>
      <c r="F251" s="49" t="s">
        <v>518</v>
      </c>
      <c r="G251" s="47" t="e">
        <v>#N/A</v>
      </c>
      <c r="H251" s="47" t="s">
        <v>22</v>
      </c>
      <c r="I251" s="40" t="s">
        <v>514</v>
      </c>
      <c r="J251" s="40" t="s">
        <v>1834</v>
      </c>
      <c r="K251" s="40" t="s">
        <v>41</v>
      </c>
      <c r="L251" s="40" t="s">
        <v>35</v>
      </c>
      <c r="M251" s="11"/>
      <c r="N251" s="11"/>
      <c r="O251" s="50">
        <v>6.9119999999999999</v>
      </c>
      <c r="R251" s="9">
        <f>IFERROR(VLOOKUP(E251,Sheet6!$A$2:$B$500,2,FALSE),0)</f>
        <v>0</v>
      </c>
      <c r="S251" s="41">
        <f>IFERROR(VLOOKUP(E251,Sheet6!$C$2:$D$35017,2,FALSE),0)</f>
        <v>0</v>
      </c>
      <c r="U251" s="9">
        <f>IFERROR(VLOOKUP(E251,Sheet2!$AA$1:$AB$975,2,FALSE),0)</f>
        <v>0</v>
      </c>
      <c r="V251" s="41">
        <f>IFERROR(VLOOKUP(E251,Sheet2!$AC$1:$AD$975,2,FALSE),0)</f>
        <v>0</v>
      </c>
      <c r="W251" s="42">
        <f>IFERROR(VLOOKUP(E251,Sheet2!$AE$1:$AF$975,2,FALSE),0)</f>
        <v>0</v>
      </c>
      <c r="X251" s="43">
        <f>IFERROR(VLOOKUP(E251,Sheet2!$AG$1:$AH$975,2,FALSE),0)</f>
        <v>0</v>
      </c>
      <c r="Z251" s="60">
        <f>IFERROR(VLOOKUP(F251,Sheet2!$AA$1:$AB$975,2,FALSE),0)</f>
        <v>0</v>
      </c>
      <c r="AA251" s="64">
        <f>IFERROR(VLOOKUP(F251,Sheet2!$AC$1:$AD$975,2,FALSE),0)</f>
        <v>0</v>
      </c>
      <c r="AB251" s="65">
        <f>IFERROR(VLOOKUP(F251,Sheet2!$AE$2:$AF$6539,2,FALSE),0)</f>
        <v>0</v>
      </c>
      <c r="AC251" s="43">
        <f>IFERROR(VLOOKUP(F251,Sheet2!$AG$2:$AH$6539,2,FALSE),0)</f>
        <v>0</v>
      </c>
      <c r="AE251" s="112">
        <v>14</v>
      </c>
      <c r="AF251" s="9">
        <v>0</v>
      </c>
      <c r="AG251" s="9">
        <v>0</v>
      </c>
      <c r="AH251" s="9">
        <v>0</v>
      </c>
      <c r="AI251" s="9">
        <v>0</v>
      </c>
      <c r="AJ251" s="9">
        <f t="shared" si="8"/>
        <v>14</v>
      </c>
      <c r="AK251" s="45">
        <f t="shared" si="9"/>
        <v>96.768000000000001</v>
      </c>
      <c r="AL251" s="68">
        <v>0</v>
      </c>
      <c r="AM251" s="68">
        <v>0</v>
      </c>
    </row>
    <row r="252" spans="1:39" x14ac:dyDescent="0.2">
      <c r="A252" s="57" t="s">
        <v>2082</v>
      </c>
      <c r="B252" s="47">
        <v>46173</v>
      </c>
      <c r="C252" s="48"/>
      <c r="D252" s="48" t="s">
        <v>1459</v>
      </c>
      <c r="E252" s="49" t="s">
        <v>519</v>
      </c>
      <c r="F252" s="49" t="s">
        <v>520</v>
      </c>
      <c r="G252" s="47" t="e">
        <v>#N/A</v>
      </c>
      <c r="H252" s="47" t="s">
        <v>22</v>
      </c>
      <c r="I252" s="9" t="s">
        <v>521</v>
      </c>
      <c r="J252" s="40" t="s">
        <v>1113</v>
      </c>
      <c r="K252" s="40" t="s">
        <v>522</v>
      </c>
      <c r="L252" s="40" t="s">
        <v>29</v>
      </c>
      <c r="M252" s="11"/>
      <c r="N252" s="11"/>
      <c r="O252" s="50">
        <v>6.9119999999999999</v>
      </c>
      <c r="R252" s="9">
        <f>IFERROR(VLOOKUP(E252,Sheet6!$A$2:$B$500,2,FALSE),0)</f>
        <v>1</v>
      </c>
      <c r="S252" s="41">
        <f>IFERROR(VLOOKUP(E252,Sheet6!$C$2:$D$35017,2,FALSE),0)</f>
        <v>16</v>
      </c>
      <c r="U252" s="9">
        <f>IFERROR(VLOOKUP(E252,Sheet2!$AA$1:$AB$975,2,FALSE),0)</f>
        <v>7</v>
      </c>
      <c r="V252" s="41">
        <f>IFERROR(VLOOKUP(E252,Sheet2!$AC$1:$AD$975,2,FALSE),0)</f>
        <v>112</v>
      </c>
      <c r="W252" s="42">
        <f>IFERROR(VLOOKUP(E252,Sheet2!$AE$1:$AF$975,2,FALSE),0)</f>
        <v>69</v>
      </c>
      <c r="X252" s="43">
        <f>IFERROR(VLOOKUP(E252,Sheet2!$AG$1:$AH$975,2,FALSE),0)</f>
        <v>1</v>
      </c>
      <c r="Z252" s="60">
        <f>IFERROR(VLOOKUP(F252,Sheet2!$AA$1:$AB$975,2,FALSE),0)</f>
        <v>0</v>
      </c>
      <c r="AA252" s="64">
        <f>IFERROR(VLOOKUP(F252,Sheet2!$AC$1:$AD$975,2,FALSE),0)</f>
        <v>0</v>
      </c>
      <c r="AB252" s="65">
        <f>IFERROR(VLOOKUP(F252,Sheet2!$AE$2:$AF$6539,2,FALSE),0)</f>
        <v>0</v>
      </c>
      <c r="AC252" s="43">
        <f>IFERROR(VLOOKUP(F252,Sheet2!$AG$2:$AH$6539,2,FALSE),0)</f>
        <v>0</v>
      </c>
      <c r="AE252" s="112">
        <v>21</v>
      </c>
      <c r="AF252" s="9">
        <v>0</v>
      </c>
      <c r="AG252" s="9">
        <v>0</v>
      </c>
      <c r="AH252" s="9">
        <v>0</v>
      </c>
      <c r="AI252" s="9">
        <v>0</v>
      </c>
      <c r="AJ252" s="9">
        <f t="shared" si="8"/>
        <v>21</v>
      </c>
      <c r="AK252" s="45">
        <f t="shared" si="9"/>
        <v>145.15199999999999</v>
      </c>
      <c r="AL252" s="68">
        <v>0</v>
      </c>
      <c r="AM252" s="68">
        <v>0</v>
      </c>
    </row>
    <row r="253" spans="1:39" x14ac:dyDescent="0.2">
      <c r="A253" s="57" t="s">
        <v>2082</v>
      </c>
      <c r="B253" s="47">
        <v>46173</v>
      </c>
      <c r="C253" s="48"/>
      <c r="D253" s="48" t="s">
        <v>1460</v>
      </c>
      <c r="E253" s="49" t="s">
        <v>523</v>
      </c>
      <c r="F253" s="49" t="s">
        <v>524</v>
      </c>
      <c r="G253" s="47" t="e">
        <v>#N/A</v>
      </c>
      <c r="H253" s="47" t="s">
        <v>22</v>
      </c>
      <c r="I253" s="9" t="s">
        <v>521</v>
      </c>
      <c r="J253" s="40" t="s">
        <v>1113</v>
      </c>
      <c r="K253" s="40" t="s">
        <v>522</v>
      </c>
      <c r="L253" s="40" t="s">
        <v>32</v>
      </c>
      <c r="M253" s="11"/>
      <c r="N253" s="11"/>
      <c r="O253" s="50">
        <v>6.9119999999999999</v>
      </c>
      <c r="R253" s="9">
        <f>IFERROR(VLOOKUP(E253,Sheet6!$A$2:$B$500,2,FALSE),0)</f>
        <v>1</v>
      </c>
      <c r="S253" s="41">
        <f>IFERROR(VLOOKUP(E253,Sheet6!$C$2:$D$35017,2,FALSE),0)</f>
        <v>13.6</v>
      </c>
      <c r="U253" s="9">
        <f>IFERROR(VLOOKUP(E253,Sheet2!$AA$1:$AB$975,2,FALSE),0)</f>
        <v>2</v>
      </c>
      <c r="V253" s="41">
        <f>IFERROR(VLOOKUP(E253,Sheet2!$AC$1:$AD$975,2,FALSE),0)</f>
        <v>32</v>
      </c>
      <c r="W253" s="42">
        <f>IFERROR(VLOOKUP(E253,Sheet2!$AE$1:$AF$975,2,FALSE),0)</f>
        <v>49</v>
      </c>
      <c r="X253" s="43">
        <f>IFERROR(VLOOKUP(E253,Sheet2!$AG$1:$AH$975,2,FALSE),0)</f>
        <v>1</v>
      </c>
      <c r="Z253" s="60">
        <f>IFERROR(VLOOKUP(F253,Sheet2!$AA$1:$AB$975,2,FALSE),0)</f>
        <v>0</v>
      </c>
      <c r="AA253" s="64">
        <f>IFERROR(VLOOKUP(F253,Sheet2!$AC$1:$AD$975,2,FALSE),0)</f>
        <v>0</v>
      </c>
      <c r="AB253" s="65">
        <f>IFERROR(VLOOKUP(F253,Sheet2!$AE$2:$AF$6539,2,FALSE),0)</f>
        <v>0</v>
      </c>
      <c r="AC253" s="43">
        <f>IFERROR(VLOOKUP(F253,Sheet2!$AG$2:$AH$6539,2,FALSE),0)</f>
        <v>0</v>
      </c>
      <c r="AE253" s="112">
        <v>0</v>
      </c>
      <c r="AF253" s="9">
        <v>0</v>
      </c>
      <c r="AG253" s="9">
        <v>0</v>
      </c>
      <c r="AH253" s="9">
        <v>0</v>
      </c>
      <c r="AI253" s="9">
        <v>0</v>
      </c>
      <c r="AJ253" s="9">
        <f t="shared" si="8"/>
        <v>0</v>
      </c>
      <c r="AK253" s="45">
        <f t="shared" si="9"/>
        <v>0</v>
      </c>
      <c r="AL253" s="68">
        <v>0</v>
      </c>
      <c r="AM253" s="68">
        <v>12</v>
      </c>
    </row>
    <row r="254" spans="1:39" x14ac:dyDescent="0.2">
      <c r="A254" s="57" t="s">
        <v>2082</v>
      </c>
      <c r="B254" s="47">
        <v>46173</v>
      </c>
      <c r="C254" s="48"/>
      <c r="D254" s="48" t="s">
        <v>1461</v>
      </c>
      <c r="E254" s="49" t="s">
        <v>525</v>
      </c>
      <c r="F254" s="49" t="s">
        <v>526</v>
      </c>
      <c r="G254" s="47" t="e">
        <v>#N/A</v>
      </c>
      <c r="H254" s="47" t="s">
        <v>22</v>
      </c>
      <c r="I254" s="9" t="s">
        <v>521</v>
      </c>
      <c r="J254" s="40" t="s">
        <v>1113</v>
      </c>
      <c r="K254" s="40" t="s">
        <v>522</v>
      </c>
      <c r="L254" s="40" t="s">
        <v>35</v>
      </c>
      <c r="M254" s="11"/>
      <c r="N254" s="11"/>
      <c r="O254" s="50">
        <v>6.9119999999999999</v>
      </c>
      <c r="R254" s="9">
        <f>IFERROR(VLOOKUP(E254,Sheet6!$A$2:$B$500,2,FALSE),0)</f>
        <v>0</v>
      </c>
      <c r="S254" s="41">
        <f>IFERROR(VLOOKUP(E254,Sheet6!$C$2:$D$35017,2,FALSE),0)</f>
        <v>0</v>
      </c>
      <c r="U254" s="9">
        <f>IFERROR(VLOOKUP(E254,Sheet2!$AA$1:$AB$975,2,FALSE),0)</f>
        <v>3</v>
      </c>
      <c r="V254" s="41">
        <f>IFERROR(VLOOKUP(E254,Sheet2!$AC$1:$AD$975,2,FALSE),0)</f>
        <v>48</v>
      </c>
      <c r="W254" s="42">
        <f>IFERROR(VLOOKUP(E254,Sheet2!$AE$1:$AF$975,2,FALSE),0)</f>
        <v>14</v>
      </c>
      <c r="X254" s="43">
        <f>IFERROR(VLOOKUP(E254,Sheet2!$AG$1:$AH$975,2,FALSE),0)</f>
        <v>1</v>
      </c>
      <c r="Z254" s="60">
        <f>IFERROR(VLOOKUP(F254,Sheet2!$AA$1:$AB$975,2,FALSE),0)</f>
        <v>0</v>
      </c>
      <c r="AA254" s="64">
        <f>IFERROR(VLOOKUP(F254,Sheet2!$AC$1:$AD$975,2,FALSE),0)</f>
        <v>0</v>
      </c>
      <c r="AB254" s="65">
        <f>IFERROR(VLOOKUP(F254,Sheet2!$AE$2:$AF$6539,2,FALSE),0)</f>
        <v>0</v>
      </c>
      <c r="AC254" s="43">
        <f>IFERROR(VLOOKUP(F254,Sheet2!$AG$2:$AH$6539,2,FALSE),0)</f>
        <v>0</v>
      </c>
      <c r="AE254" s="112">
        <v>0</v>
      </c>
      <c r="AF254" s="9">
        <v>0</v>
      </c>
      <c r="AG254" s="9">
        <v>0</v>
      </c>
      <c r="AH254" s="9">
        <v>0</v>
      </c>
      <c r="AI254" s="9">
        <v>0</v>
      </c>
      <c r="AJ254" s="9">
        <f t="shared" si="8"/>
        <v>0</v>
      </c>
      <c r="AK254" s="45">
        <f t="shared" si="9"/>
        <v>0</v>
      </c>
      <c r="AL254" s="68">
        <v>0</v>
      </c>
      <c r="AM254" s="68">
        <v>0</v>
      </c>
    </row>
    <row r="255" spans="1:39" x14ac:dyDescent="0.2">
      <c r="A255" s="57" t="s">
        <v>2082</v>
      </c>
      <c r="B255" s="47">
        <v>46173</v>
      </c>
      <c r="C255" s="48"/>
      <c r="D255" s="48" t="s">
        <v>1462</v>
      </c>
      <c r="E255" s="49" t="s">
        <v>527</v>
      </c>
      <c r="F255" s="49" t="s">
        <v>528</v>
      </c>
      <c r="G255" s="47" t="e">
        <v>#N/A</v>
      </c>
      <c r="H255" s="47" t="s">
        <v>22</v>
      </c>
      <c r="I255" s="9" t="s">
        <v>521</v>
      </c>
      <c r="J255" s="40" t="s">
        <v>1113</v>
      </c>
      <c r="K255" s="40" t="s">
        <v>529</v>
      </c>
      <c r="L255" s="40" t="s">
        <v>32</v>
      </c>
      <c r="M255" s="11"/>
      <c r="N255" s="11"/>
      <c r="O255" s="50">
        <v>6.9119999999999999</v>
      </c>
      <c r="R255" s="9">
        <f>IFERROR(VLOOKUP(E255,Sheet6!$A$2:$B$500,2,FALSE),0)</f>
        <v>2</v>
      </c>
      <c r="S255" s="41">
        <f>IFERROR(VLOOKUP(E255,Sheet6!$C$2:$D$35017,2,FALSE),0)</f>
        <v>32</v>
      </c>
      <c r="U255" s="9">
        <f>IFERROR(VLOOKUP(E255,Sheet2!$AA$1:$AB$975,2,FALSE),0)</f>
        <v>7</v>
      </c>
      <c r="V255" s="41">
        <f>IFERROR(VLOOKUP(E255,Sheet2!$AC$1:$AD$975,2,FALSE),0)</f>
        <v>112</v>
      </c>
      <c r="W255" s="42">
        <f>IFERROR(VLOOKUP(E255,Sheet2!$AE$1:$AF$975,2,FALSE),0)</f>
        <v>105</v>
      </c>
      <c r="X255" s="43">
        <f>IFERROR(VLOOKUP(E255,Sheet2!$AG$1:$AH$975,2,FALSE),0)</f>
        <v>1</v>
      </c>
      <c r="Z255" s="60">
        <f>IFERROR(VLOOKUP(F255,Sheet2!$AA$1:$AB$975,2,FALSE),0)</f>
        <v>0</v>
      </c>
      <c r="AA255" s="64">
        <f>IFERROR(VLOOKUP(F255,Sheet2!$AC$1:$AD$975,2,FALSE),0)</f>
        <v>0</v>
      </c>
      <c r="AB255" s="65">
        <f>IFERROR(VLOOKUP(F255,Sheet2!$AE$2:$AF$6539,2,FALSE),0)</f>
        <v>0</v>
      </c>
      <c r="AC255" s="43">
        <f>IFERROR(VLOOKUP(F255,Sheet2!$AG$2:$AH$6539,2,FALSE),0)</f>
        <v>0</v>
      </c>
      <c r="AE255" s="112">
        <v>1</v>
      </c>
      <c r="AF255" s="9">
        <v>0</v>
      </c>
      <c r="AG255" s="9">
        <v>0</v>
      </c>
      <c r="AH255" s="9">
        <v>0</v>
      </c>
      <c r="AI255" s="9">
        <v>0</v>
      </c>
      <c r="AJ255" s="9">
        <f t="shared" si="8"/>
        <v>1</v>
      </c>
      <c r="AK255" s="45">
        <f t="shared" si="9"/>
        <v>6.9119999999999999</v>
      </c>
      <c r="AL255" s="68">
        <v>0</v>
      </c>
      <c r="AM255" s="68">
        <v>0</v>
      </c>
    </row>
    <row r="256" spans="1:39" x14ac:dyDescent="0.2">
      <c r="A256" s="57" t="s">
        <v>2082</v>
      </c>
      <c r="B256" s="47">
        <v>46173</v>
      </c>
      <c r="C256" s="48"/>
      <c r="D256" s="48" t="s">
        <v>1463</v>
      </c>
      <c r="E256" s="49" t="s">
        <v>530</v>
      </c>
      <c r="F256" s="49" t="s">
        <v>531</v>
      </c>
      <c r="G256" s="47" t="e">
        <v>#N/A</v>
      </c>
      <c r="H256" s="47" t="s">
        <v>22</v>
      </c>
      <c r="I256" s="9" t="s">
        <v>521</v>
      </c>
      <c r="J256" s="40" t="s">
        <v>1113</v>
      </c>
      <c r="K256" s="40" t="s">
        <v>529</v>
      </c>
      <c r="L256" s="40" t="s">
        <v>35</v>
      </c>
      <c r="M256" s="11"/>
      <c r="N256" s="11"/>
      <c r="O256" s="50">
        <v>6.9119999999999999</v>
      </c>
      <c r="R256" s="9">
        <f>IFERROR(VLOOKUP(E256,Sheet6!$A$2:$B$500,2,FALSE),0)</f>
        <v>1</v>
      </c>
      <c r="S256" s="41">
        <f>IFERROR(VLOOKUP(E256,Sheet6!$C$2:$D$35017,2,FALSE),0)</f>
        <v>13.6</v>
      </c>
      <c r="U256" s="9">
        <f>IFERROR(VLOOKUP(E256,Sheet2!$AA$1:$AB$975,2,FALSE),0)</f>
        <v>3</v>
      </c>
      <c r="V256" s="41">
        <f>IFERROR(VLOOKUP(E256,Sheet2!$AC$1:$AD$975,2,FALSE),0)</f>
        <v>48</v>
      </c>
      <c r="W256" s="42">
        <f>IFERROR(VLOOKUP(E256,Sheet2!$AE$1:$AF$975,2,FALSE),0)</f>
        <v>53</v>
      </c>
      <c r="X256" s="43">
        <f>IFERROR(VLOOKUP(E256,Sheet2!$AG$1:$AH$975,2,FALSE),0)</f>
        <v>1</v>
      </c>
      <c r="Z256" s="60">
        <f>IFERROR(VLOOKUP(F256,Sheet2!$AA$1:$AB$975,2,FALSE),0)</f>
        <v>0</v>
      </c>
      <c r="AA256" s="64">
        <f>IFERROR(VLOOKUP(F256,Sheet2!$AC$1:$AD$975,2,FALSE),0)</f>
        <v>0</v>
      </c>
      <c r="AB256" s="65">
        <f>IFERROR(VLOOKUP(F256,Sheet2!$AE$2:$AF$6539,2,FALSE),0)</f>
        <v>0</v>
      </c>
      <c r="AC256" s="43">
        <f>IFERROR(VLOOKUP(F256,Sheet2!$AG$2:$AH$6539,2,FALSE),0)</f>
        <v>0</v>
      </c>
      <c r="AE256" s="112">
        <v>45</v>
      </c>
      <c r="AF256" s="9">
        <v>0</v>
      </c>
      <c r="AG256" s="9">
        <v>0</v>
      </c>
      <c r="AH256" s="9">
        <v>0</v>
      </c>
      <c r="AI256" s="9">
        <v>0</v>
      </c>
      <c r="AJ256" s="9">
        <f t="shared" si="8"/>
        <v>45</v>
      </c>
      <c r="AK256" s="45">
        <f t="shared" si="9"/>
        <v>311.04000000000002</v>
      </c>
      <c r="AL256" s="68">
        <v>0</v>
      </c>
      <c r="AM256" s="68">
        <v>42</v>
      </c>
    </row>
    <row r="257" spans="1:39" x14ac:dyDescent="0.2">
      <c r="A257" s="57" t="s">
        <v>2082</v>
      </c>
      <c r="B257" s="47">
        <v>46173</v>
      </c>
      <c r="C257" s="108"/>
      <c r="D257" s="48" t="s">
        <v>1464</v>
      </c>
      <c r="E257" s="49" t="s">
        <v>532</v>
      </c>
      <c r="F257" s="49" t="s">
        <v>533</v>
      </c>
      <c r="G257" s="47" t="e">
        <v>#N/A</v>
      </c>
      <c r="H257" s="47" t="s">
        <v>22</v>
      </c>
      <c r="I257" s="9" t="s">
        <v>534</v>
      </c>
      <c r="J257" s="40" t="s">
        <v>1114</v>
      </c>
      <c r="K257" s="40" t="s">
        <v>522</v>
      </c>
      <c r="L257" s="40" t="s">
        <v>29</v>
      </c>
      <c r="M257" s="11"/>
      <c r="N257" s="11"/>
      <c r="O257" s="50">
        <v>7.7760000000000007</v>
      </c>
      <c r="R257" s="9">
        <f>IFERROR(VLOOKUP(E257,Sheet6!$A$2:$B$500,2,FALSE),0)</f>
        <v>0</v>
      </c>
      <c r="S257" s="41">
        <f>IFERROR(VLOOKUP(E257,Sheet6!$C$2:$D$35017,2,FALSE),0)</f>
        <v>0</v>
      </c>
      <c r="U257" s="9">
        <f>IFERROR(VLOOKUP(E257,Sheet2!$AA$1:$AB$975,2,FALSE),0)</f>
        <v>0</v>
      </c>
      <c r="V257" s="41">
        <f>IFERROR(VLOOKUP(E257,Sheet2!$AC$1:$AD$975,2,FALSE),0)</f>
        <v>0</v>
      </c>
      <c r="W257" s="42">
        <f>IFERROR(VLOOKUP(E257,Sheet2!$AE$1:$AF$975,2,FALSE),0)</f>
        <v>0</v>
      </c>
      <c r="X257" s="43">
        <f>IFERROR(VLOOKUP(E257,Sheet2!$AG$1:$AH$975,2,FALSE),0)</f>
        <v>0</v>
      </c>
      <c r="Z257" s="60">
        <f>IFERROR(VLOOKUP(F257,Sheet2!$AA$1:$AB$975,2,FALSE),0)</f>
        <v>0</v>
      </c>
      <c r="AA257" s="64">
        <f>IFERROR(VLOOKUP(F257,Sheet2!$AC$1:$AD$975,2,FALSE),0)</f>
        <v>0</v>
      </c>
      <c r="AB257" s="65">
        <f>IFERROR(VLOOKUP(F257,Sheet2!$AE$2:$AF$6539,2,FALSE),0)</f>
        <v>0</v>
      </c>
      <c r="AC257" s="43">
        <f>IFERROR(VLOOKUP(F257,Sheet2!$AG$2:$AH$6539,2,FALSE),0)</f>
        <v>0</v>
      </c>
      <c r="AE257" s="112">
        <v>12</v>
      </c>
      <c r="AF257" s="9">
        <v>0</v>
      </c>
      <c r="AG257" s="9">
        <v>0</v>
      </c>
      <c r="AH257" s="9">
        <v>0</v>
      </c>
      <c r="AI257" s="9">
        <v>0</v>
      </c>
      <c r="AJ257" s="9">
        <f t="shared" si="8"/>
        <v>12</v>
      </c>
      <c r="AK257" s="45">
        <f t="shared" si="9"/>
        <v>93.312000000000012</v>
      </c>
      <c r="AL257" s="68">
        <v>0</v>
      </c>
      <c r="AM257" s="68">
        <v>0</v>
      </c>
    </row>
    <row r="258" spans="1:39" x14ac:dyDescent="0.2">
      <c r="A258" s="57" t="s">
        <v>2082</v>
      </c>
      <c r="B258" s="47">
        <v>46173</v>
      </c>
      <c r="C258" s="48"/>
      <c r="D258" s="48" t="s">
        <v>1465</v>
      </c>
      <c r="E258" s="49" t="s">
        <v>535</v>
      </c>
      <c r="F258" s="49" t="s">
        <v>536</v>
      </c>
      <c r="G258" s="47" t="e">
        <v>#N/A</v>
      </c>
      <c r="H258" s="47" t="s">
        <v>22</v>
      </c>
      <c r="I258" s="9" t="s">
        <v>534</v>
      </c>
      <c r="J258" s="40" t="s">
        <v>1114</v>
      </c>
      <c r="K258" s="40" t="s">
        <v>522</v>
      </c>
      <c r="L258" s="40" t="s">
        <v>32</v>
      </c>
      <c r="M258" s="11"/>
      <c r="N258" s="11"/>
      <c r="O258" s="50">
        <v>7.7760000000000007</v>
      </c>
      <c r="R258" s="9">
        <f>IFERROR(VLOOKUP(E258,Sheet6!$A$2:$B$500,2,FALSE),0)</f>
        <v>0</v>
      </c>
      <c r="S258" s="41">
        <f>IFERROR(VLOOKUP(E258,Sheet6!$C$2:$D$35017,2,FALSE),0)</f>
        <v>0</v>
      </c>
      <c r="U258" s="9">
        <f>IFERROR(VLOOKUP(E258,Sheet2!$AA$1:$AB$975,2,FALSE),0)</f>
        <v>0</v>
      </c>
      <c r="V258" s="41">
        <f>IFERROR(VLOOKUP(E258,Sheet2!$AC$1:$AD$975,2,FALSE),0)</f>
        <v>0</v>
      </c>
      <c r="W258" s="42">
        <f>IFERROR(VLOOKUP(E258,Sheet2!$AE$1:$AF$975,2,FALSE),0)</f>
        <v>0</v>
      </c>
      <c r="X258" s="43">
        <f>IFERROR(VLOOKUP(E258,Sheet2!$AG$1:$AH$975,2,FALSE),0)</f>
        <v>0</v>
      </c>
      <c r="Z258" s="60">
        <f>IFERROR(VLOOKUP(F258,Sheet2!$AA$1:$AB$975,2,FALSE),0)</f>
        <v>0</v>
      </c>
      <c r="AA258" s="64">
        <f>IFERROR(VLOOKUP(F258,Sheet2!$AC$1:$AD$975,2,FALSE),0)</f>
        <v>0</v>
      </c>
      <c r="AB258" s="65">
        <f>IFERROR(VLOOKUP(F258,Sheet2!$AE$2:$AF$6539,2,FALSE),0)</f>
        <v>0</v>
      </c>
      <c r="AC258" s="43">
        <f>IFERROR(VLOOKUP(F258,Sheet2!$AG$2:$AH$6539,2,FALSE),0)</f>
        <v>0</v>
      </c>
      <c r="AE258" s="112">
        <v>14</v>
      </c>
      <c r="AF258" s="9">
        <v>0</v>
      </c>
      <c r="AG258" s="9">
        <v>0</v>
      </c>
      <c r="AH258" s="9">
        <v>0</v>
      </c>
      <c r="AI258" s="9">
        <v>0</v>
      </c>
      <c r="AJ258" s="9">
        <f t="shared" si="8"/>
        <v>14</v>
      </c>
      <c r="AK258" s="45">
        <f t="shared" si="9"/>
        <v>108.864</v>
      </c>
      <c r="AL258" s="68">
        <v>0</v>
      </c>
      <c r="AM258" s="68">
        <v>0</v>
      </c>
    </row>
    <row r="259" spans="1:39" x14ac:dyDescent="0.2">
      <c r="A259" s="57" t="s">
        <v>2082</v>
      </c>
      <c r="B259" s="47">
        <v>46173</v>
      </c>
      <c r="C259" s="48"/>
      <c r="D259" s="48" t="s">
        <v>1466</v>
      </c>
      <c r="E259" s="49" t="s">
        <v>537</v>
      </c>
      <c r="F259" s="49" t="s">
        <v>538</v>
      </c>
      <c r="G259" s="47" t="e">
        <v>#N/A</v>
      </c>
      <c r="H259" s="47" t="s">
        <v>22</v>
      </c>
      <c r="I259" s="9" t="s">
        <v>534</v>
      </c>
      <c r="J259" s="40" t="s">
        <v>1114</v>
      </c>
      <c r="K259" s="40" t="s">
        <v>522</v>
      </c>
      <c r="L259" s="40" t="s">
        <v>35</v>
      </c>
      <c r="M259" s="11"/>
      <c r="N259" s="11"/>
      <c r="O259" s="50">
        <v>7.7760000000000007</v>
      </c>
      <c r="R259" s="9">
        <f>IFERROR(VLOOKUP(E259,Sheet6!$A$2:$B$500,2,FALSE),0)</f>
        <v>0</v>
      </c>
      <c r="S259" s="41">
        <f>IFERROR(VLOOKUP(E259,Sheet6!$C$2:$D$35017,2,FALSE),0)</f>
        <v>0</v>
      </c>
      <c r="U259" s="9">
        <f>IFERROR(VLOOKUP(E259,Sheet2!$AA$1:$AB$975,2,FALSE),0)</f>
        <v>0</v>
      </c>
      <c r="V259" s="41">
        <f>IFERROR(VLOOKUP(E259,Sheet2!$AC$1:$AD$975,2,FALSE),0)</f>
        <v>0</v>
      </c>
      <c r="W259" s="42">
        <f>IFERROR(VLOOKUP(E259,Sheet2!$AE$1:$AF$975,2,FALSE),0)</f>
        <v>0</v>
      </c>
      <c r="X259" s="43">
        <f>IFERROR(VLOOKUP(E259,Sheet2!$AG$1:$AH$975,2,FALSE),0)</f>
        <v>0</v>
      </c>
      <c r="Z259" s="60">
        <f>IFERROR(VLOOKUP(F259,Sheet2!$AA$1:$AB$975,2,FALSE),0)</f>
        <v>0</v>
      </c>
      <c r="AA259" s="64">
        <f>IFERROR(VLOOKUP(F259,Sheet2!$AC$1:$AD$975,2,FALSE),0)</f>
        <v>0</v>
      </c>
      <c r="AB259" s="65">
        <f>IFERROR(VLOOKUP(F259,Sheet2!$AE$2:$AF$6539,2,FALSE),0)</f>
        <v>0</v>
      </c>
      <c r="AC259" s="43">
        <f>IFERROR(VLOOKUP(F259,Sheet2!$AG$2:$AH$6539,2,FALSE),0)</f>
        <v>0</v>
      </c>
      <c r="AE259" s="112">
        <v>16</v>
      </c>
      <c r="AF259" s="9">
        <v>18</v>
      </c>
      <c r="AG259" s="9">
        <v>0</v>
      </c>
      <c r="AH259" s="9">
        <v>0</v>
      </c>
      <c r="AI259" s="9">
        <v>18</v>
      </c>
      <c r="AJ259" s="9">
        <f t="shared" si="8"/>
        <v>34</v>
      </c>
      <c r="AK259" s="45">
        <f t="shared" si="9"/>
        <v>264.38400000000001</v>
      </c>
      <c r="AL259" s="68">
        <v>0</v>
      </c>
      <c r="AM259" s="68">
        <v>0</v>
      </c>
    </row>
    <row r="260" spans="1:39" x14ac:dyDescent="0.2">
      <c r="A260" s="57" t="s">
        <v>2082</v>
      </c>
      <c r="B260" s="47">
        <v>46173</v>
      </c>
      <c r="C260" s="48"/>
      <c r="D260" s="48" t="s">
        <v>1467</v>
      </c>
      <c r="E260" s="49" t="s">
        <v>539</v>
      </c>
      <c r="F260" s="49" t="s">
        <v>540</v>
      </c>
      <c r="G260" s="47" t="e">
        <v>#N/A</v>
      </c>
      <c r="H260" s="47" t="s">
        <v>22</v>
      </c>
      <c r="I260" s="9" t="s">
        <v>534</v>
      </c>
      <c r="J260" s="40" t="s">
        <v>1114</v>
      </c>
      <c r="K260" s="40" t="s">
        <v>529</v>
      </c>
      <c r="L260" s="40" t="s">
        <v>29</v>
      </c>
      <c r="M260" s="11"/>
      <c r="N260" s="11"/>
      <c r="O260" s="50">
        <v>7.7760000000000007</v>
      </c>
      <c r="R260" s="9">
        <f>IFERROR(VLOOKUP(E260,Sheet6!$A$2:$B$500,2,FALSE),0)</f>
        <v>0</v>
      </c>
      <c r="S260" s="41">
        <f>IFERROR(VLOOKUP(E260,Sheet6!$C$2:$D$35017,2,FALSE),0)</f>
        <v>0</v>
      </c>
      <c r="U260" s="9">
        <f>IFERROR(VLOOKUP(E260,Sheet2!$AA$1:$AB$975,2,FALSE),0)</f>
        <v>0</v>
      </c>
      <c r="V260" s="41">
        <f>IFERROR(VLOOKUP(E260,Sheet2!$AC$1:$AD$975,2,FALSE),0)</f>
        <v>0</v>
      </c>
      <c r="W260" s="42">
        <f>IFERROR(VLOOKUP(E260,Sheet2!$AE$1:$AF$975,2,FALSE),0)</f>
        <v>0</v>
      </c>
      <c r="X260" s="43">
        <f>IFERROR(VLOOKUP(E260,Sheet2!$AG$1:$AH$975,2,FALSE),0)</f>
        <v>0</v>
      </c>
      <c r="Z260" s="60">
        <f>IFERROR(VLOOKUP(F260,Sheet2!$AA$1:$AB$975,2,FALSE),0)</f>
        <v>0</v>
      </c>
      <c r="AA260" s="64">
        <f>IFERROR(VLOOKUP(F260,Sheet2!$AC$1:$AD$975,2,FALSE),0)</f>
        <v>0</v>
      </c>
      <c r="AB260" s="65">
        <f>IFERROR(VLOOKUP(F260,Sheet2!$AE$2:$AF$6539,2,FALSE),0)</f>
        <v>0</v>
      </c>
      <c r="AC260" s="43">
        <f>IFERROR(VLOOKUP(F260,Sheet2!$AG$2:$AH$6539,2,FALSE),0)</f>
        <v>0</v>
      </c>
      <c r="AE260" s="112">
        <v>8</v>
      </c>
      <c r="AF260" s="9">
        <v>23</v>
      </c>
      <c r="AG260" s="9">
        <v>0</v>
      </c>
      <c r="AH260" s="9">
        <v>0</v>
      </c>
      <c r="AI260" s="9">
        <v>23</v>
      </c>
      <c r="AJ260" s="9">
        <f t="shared" ref="AJ260:AJ324" si="10">SUM(AE260+AI260)</f>
        <v>31</v>
      </c>
      <c r="AK260" s="45">
        <f t="shared" ref="AK260:AK324" si="11">SUM(AJ260*O260)</f>
        <v>241.05600000000001</v>
      </c>
      <c r="AL260" s="68">
        <v>0</v>
      </c>
      <c r="AM260" s="68">
        <v>0</v>
      </c>
    </row>
    <row r="261" spans="1:39" x14ac:dyDescent="0.2">
      <c r="A261" s="57" t="s">
        <v>2082</v>
      </c>
      <c r="B261" s="47">
        <v>46173</v>
      </c>
      <c r="C261" s="48"/>
      <c r="D261" s="48" t="s">
        <v>1468</v>
      </c>
      <c r="E261" s="49" t="s">
        <v>541</v>
      </c>
      <c r="F261" s="49" t="s">
        <v>542</v>
      </c>
      <c r="G261" s="47" t="e">
        <v>#N/A</v>
      </c>
      <c r="H261" s="47" t="s">
        <v>22</v>
      </c>
      <c r="I261" s="9" t="s">
        <v>534</v>
      </c>
      <c r="J261" s="40" t="s">
        <v>1114</v>
      </c>
      <c r="K261" s="40" t="s">
        <v>529</v>
      </c>
      <c r="L261" s="40" t="s">
        <v>32</v>
      </c>
      <c r="M261" s="11"/>
      <c r="N261" s="11"/>
      <c r="O261" s="50">
        <v>7.7760000000000007</v>
      </c>
      <c r="R261" s="9">
        <f>IFERROR(VLOOKUP(E261,Sheet6!$A$2:$B$500,2,FALSE),0)</f>
        <v>0</v>
      </c>
      <c r="S261" s="41">
        <f>IFERROR(VLOOKUP(E261,Sheet6!$C$2:$D$35017,2,FALSE),0)</f>
        <v>0</v>
      </c>
      <c r="U261" s="9">
        <f>IFERROR(VLOOKUP(E261,Sheet2!$AA$1:$AB$975,2,FALSE),0)</f>
        <v>0</v>
      </c>
      <c r="V261" s="41">
        <f>IFERROR(VLOOKUP(E261,Sheet2!$AC$1:$AD$975,2,FALSE),0)</f>
        <v>0</v>
      </c>
      <c r="W261" s="42">
        <f>IFERROR(VLOOKUP(E261,Sheet2!$AE$1:$AF$975,2,FALSE),0)</f>
        <v>0</v>
      </c>
      <c r="X261" s="43">
        <f>IFERROR(VLOOKUP(E261,Sheet2!$AG$1:$AH$975,2,FALSE),0)</f>
        <v>0</v>
      </c>
      <c r="Z261" s="60">
        <f>IFERROR(VLOOKUP(F261,Sheet2!$AA$1:$AB$975,2,FALSE),0)</f>
        <v>0</v>
      </c>
      <c r="AA261" s="64">
        <f>IFERROR(VLOOKUP(F261,Sheet2!$AC$1:$AD$975,2,FALSE),0)</f>
        <v>0</v>
      </c>
      <c r="AB261" s="65">
        <f>IFERROR(VLOOKUP(F261,Sheet2!$AE$2:$AF$6539,2,FALSE),0)</f>
        <v>0</v>
      </c>
      <c r="AC261" s="43">
        <f>IFERROR(VLOOKUP(F261,Sheet2!$AG$2:$AH$6539,2,FALSE),0)</f>
        <v>0</v>
      </c>
      <c r="AE261" s="112">
        <v>50</v>
      </c>
      <c r="AF261" s="9">
        <v>11</v>
      </c>
      <c r="AG261" s="9">
        <v>0</v>
      </c>
      <c r="AH261" s="9">
        <v>0</v>
      </c>
      <c r="AI261" s="9">
        <v>11</v>
      </c>
      <c r="AJ261" s="9">
        <f t="shared" si="10"/>
        <v>61</v>
      </c>
      <c r="AK261" s="45">
        <f t="shared" si="11"/>
        <v>474.33600000000007</v>
      </c>
      <c r="AL261" s="68">
        <v>0</v>
      </c>
      <c r="AM261" s="68">
        <v>0</v>
      </c>
    </row>
    <row r="262" spans="1:39" x14ac:dyDescent="0.2">
      <c r="A262" s="57" t="s">
        <v>2082</v>
      </c>
      <c r="B262" s="47">
        <v>46173</v>
      </c>
      <c r="C262" s="48"/>
      <c r="D262" s="48" t="s">
        <v>1469</v>
      </c>
      <c r="E262" s="49" t="s">
        <v>543</v>
      </c>
      <c r="F262" s="49" t="s">
        <v>544</v>
      </c>
      <c r="G262" s="47" t="s">
        <v>971</v>
      </c>
      <c r="H262" s="47" t="s">
        <v>22</v>
      </c>
      <c r="I262" s="9" t="s">
        <v>534</v>
      </c>
      <c r="J262" s="40" t="s">
        <v>1114</v>
      </c>
      <c r="K262" s="40" t="s">
        <v>529</v>
      </c>
      <c r="L262" s="40" t="s">
        <v>35</v>
      </c>
      <c r="M262" s="11"/>
      <c r="N262" s="11"/>
      <c r="O262" s="50">
        <v>7.7760000000000007</v>
      </c>
      <c r="R262" s="9">
        <f>IFERROR(VLOOKUP(E262,Sheet6!$A$2:$B$500,2,FALSE),0)</f>
        <v>0</v>
      </c>
      <c r="S262" s="41">
        <f>IFERROR(VLOOKUP(E262,Sheet6!$C$2:$D$35017,2,FALSE),0)</f>
        <v>0</v>
      </c>
      <c r="U262" s="9">
        <f>IFERROR(VLOOKUP(E262,Sheet2!$AA$1:$AB$975,2,FALSE),0)</f>
        <v>0</v>
      </c>
      <c r="V262" s="41">
        <f>IFERROR(VLOOKUP(E262,Sheet2!$AC$1:$AD$975,2,FALSE),0)</f>
        <v>0</v>
      </c>
      <c r="W262" s="42">
        <f>IFERROR(VLOOKUP(E262,Sheet2!$AE$1:$AF$975,2,FALSE),0)</f>
        <v>0</v>
      </c>
      <c r="X262" s="43">
        <f>IFERROR(VLOOKUP(E262,Sheet2!$AG$1:$AH$975,2,FALSE),0)</f>
        <v>0</v>
      </c>
      <c r="Z262" s="60">
        <f>IFERROR(VLOOKUP(F262,Sheet2!$AA$1:$AB$975,2,FALSE),0)</f>
        <v>0</v>
      </c>
      <c r="AA262" s="64">
        <f>IFERROR(VLOOKUP(F262,Sheet2!$AC$1:$AD$975,2,FALSE),0)</f>
        <v>0</v>
      </c>
      <c r="AB262" s="65">
        <f>IFERROR(VLOOKUP(F262,Sheet2!$AE$2:$AF$6539,2,FALSE),0)</f>
        <v>0</v>
      </c>
      <c r="AC262" s="43">
        <f>IFERROR(VLOOKUP(F262,Sheet2!$AG$2:$AH$6539,2,FALSE),0)</f>
        <v>0</v>
      </c>
      <c r="AE262" s="112">
        <v>0</v>
      </c>
      <c r="AF262" s="9">
        <v>0</v>
      </c>
      <c r="AG262" s="9">
        <v>0</v>
      </c>
      <c r="AH262" s="9">
        <v>0</v>
      </c>
      <c r="AI262" s="9">
        <v>0</v>
      </c>
      <c r="AJ262" s="9">
        <f t="shared" si="10"/>
        <v>0</v>
      </c>
      <c r="AK262" s="45">
        <f t="shared" si="11"/>
        <v>0</v>
      </c>
      <c r="AL262" s="68">
        <v>0</v>
      </c>
      <c r="AM262" s="68">
        <v>0</v>
      </c>
    </row>
    <row r="263" spans="1:39" x14ac:dyDescent="0.2">
      <c r="A263" s="57" t="s">
        <v>2082</v>
      </c>
      <c r="B263" s="47">
        <v>46173</v>
      </c>
      <c r="C263" s="48"/>
      <c r="D263" s="48" t="s">
        <v>1470</v>
      </c>
      <c r="E263" s="49" t="s">
        <v>545</v>
      </c>
      <c r="F263" s="49" t="s">
        <v>546</v>
      </c>
      <c r="G263" s="47" t="e">
        <v>#N/A</v>
      </c>
      <c r="H263" s="47" t="s">
        <v>22</v>
      </c>
      <c r="I263" s="9" t="s">
        <v>547</v>
      </c>
      <c r="J263" s="40" t="s">
        <v>1757</v>
      </c>
      <c r="K263" s="40" t="s">
        <v>548</v>
      </c>
      <c r="L263" s="40" t="s">
        <v>29</v>
      </c>
      <c r="M263" s="11"/>
      <c r="N263" s="11"/>
      <c r="O263" s="50">
        <v>8.2080000000000002</v>
      </c>
      <c r="R263" s="9">
        <f>IFERROR(VLOOKUP(E263,Sheet6!$A$2:$B$500,2,FALSE),0)</f>
        <v>0</v>
      </c>
      <c r="S263" s="41">
        <f>IFERROR(VLOOKUP(E263,Sheet6!$C$2:$D$35017,2,FALSE),0)</f>
        <v>0</v>
      </c>
      <c r="U263" s="9">
        <f>IFERROR(VLOOKUP(E263,Sheet2!$AA$1:$AB$975,2,FALSE),0)</f>
        <v>0</v>
      </c>
      <c r="V263" s="41">
        <f>IFERROR(VLOOKUP(E263,Sheet2!$AC$1:$AD$975,2,FALSE),0)</f>
        <v>0</v>
      </c>
      <c r="W263" s="42">
        <f>IFERROR(VLOOKUP(E263,Sheet2!$AE$1:$AF$975,2,FALSE),0)</f>
        <v>0</v>
      </c>
      <c r="X263" s="43">
        <f>IFERROR(VLOOKUP(E263,Sheet2!$AG$1:$AH$975,2,FALSE),0)</f>
        <v>0</v>
      </c>
      <c r="Z263" s="60">
        <f>IFERROR(VLOOKUP(F263,Sheet2!$AA$1:$AB$975,2,FALSE),0)</f>
        <v>0</v>
      </c>
      <c r="AA263" s="64">
        <f>IFERROR(VLOOKUP(F263,Sheet2!$AC$1:$AD$975,2,FALSE),0)</f>
        <v>0</v>
      </c>
      <c r="AB263" s="65">
        <f>IFERROR(VLOOKUP(F263,Sheet2!$AE$2:$AF$6539,2,FALSE),0)</f>
        <v>0</v>
      </c>
      <c r="AC263" s="43">
        <f>IFERROR(VLOOKUP(F263,Sheet2!$AG$2:$AH$6539,2,FALSE),0)</f>
        <v>0</v>
      </c>
      <c r="AE263" s="112">
        <v>12</v>
      </c>
      <c r="AF263" s="9">
        <v>18</v>
      </c>
      <c r="AG263" s="9">
        <v>0</v>
      </c>
      <c r="AH263" s="9">
        <v>0</v>
      </c>
      <c r="AI263" s="9">
        <v>18</v>
      </c>
      <c r="AJ263" s="9">
        <f t="shared" si="10"/>
        <v>30</v>
      </c>
      <c r="AK263" s="45">
        <f t="shared" si="11"/>
        <v>246.24</v>
      </c>
      <c r="AL263" s="68">
        <v>0</v>
      </c>
      <c r="AM263" s="68">
        <v>0</v>
      </c>
    </row>
    <row r="264" spans="1:39" x14ac:dyDescent="0.2">
      <c r="A264" s="57" t="s">
        <v>2082</v>
      </c>
      <c r="B264" s="47">
        <v>46173</v>
      </c>
      <c r="C264" s="48"/>
      <c r="D264" s="48" t="s">
        <v>1471</v>
      </c>
      <c r="E264" s="49" t="s">
        <v>549</v>
      </c>
      <c r="F264" s="49" t="s">
        <v>550</v>
      </c>
      <c r="G264" s="47" t="e">
        <v>#N/A</v>
      </c>
      <c r="H264" s="47" t="s">
        <v>22</v>
      </c>
      <c r="I264" s="9" t="s">
        <v>547</v>
      </c>
      <c r="J264" s="40" t="s">
        <v>1757</v>
      </c>
      <c r="K264" s="40" t="s">
        <v>548</v>
      </c>
      <c r="L264" s="40" t="s">
        <v>32</v>
      </c>
      <c r="M264" s="11"/>
      <c r="N264" s="11"/>
      <c r="O264" s="50">
        <v>8.2080000000000002</v>
      </c>
      <c r="R264" s="9">
        <f>IFERROR(VLOOKUP(E264,Sheet6!$A$2:$B$500,2,FALSE),0)</f>
        <v>0</v>
      </c>
      <c r="S264" s="41">
        <f>IFERROR(VLOOKUP(E264,Sheet6!$C$2:$D$35017,2,FALSE),0)</f>
        <v>0</v>
      </c>
      <c r="U264" s="9">
        <f>IFERROR(VLOOKUP(E264,Sheet2!$AA$1:$AB$975,2,FALSE),0)</f>
        <v>0</v>
      </c>
      <c r="V264" s="41">
        <f>IFERROR(VLOOKUP(E264,Sheet2!$AC$1:$AD$975,2,FALSE),0)</f>
        <v>0</v>
      </c>
      <c r="W264" s="42">
        <f>IFERROR(VLOOKUP(E264,Sheet2!$AE$1:$AF$975,2,FALSE),0)</f>
        <v>0</v>
      </c>
      <c r="X264" s="43">
        <f>IFERROR(VLOOKUP(E264,Sheet2!$AG$1:$AH$975,2,FALSE),0)</f>
        <v>0</v>
      </c>
      <c r="Z264" s="60">
        <f>IFERROR(VLOOKUP(F264,Sheet2!$AA$1:$AB$975,2,FALSE),0)</f>
        <v>0</v>
      </c>
      <c r="AA264" s="64">
        <f>IFERROR(VLOOKUP(F264,Sheet2!$AC$1:$AD$975,2,FALSE),0)</f>
        <v>0</v>
      </c>
      <c r="AB264" s="65">
        <f>IFERROR(VLOOKUP(F264,Sheet2!$AE$2:$AF$6539,2,FALSE),0)</f>
        <v>0</v>
      </c>
      <c r="AC264" s="43">
        <f>IFERROR(VLOOKUP(F264,Sheet2!$AG$2:$AH$6539,2,FALSE),0)</f>
        <v>0</v>
      </c>
      <c r="AE264" s="112">
        <v>30</v>
      </c>
      <c r="AF264" s="9">
        <v>19</v>
      </c>
      <c r="AG264" s="9">
        <v>0</v>
      </c>
      <c r="AH264" s="9">
        <v>0</v>
      </c>
      <c r="AI264" s="9">
        <v>19</v>
      </c>
      <c r="AJ264" s="9">
        <f t="shared" si="10"/>
        <v>49</v>
      </c>
      <c r="AK264" s="45">
        <f t="shared" si="11"/>
        <v>402.19200000000001</v>
      </c>
      <c r="AL264" s="68">
        <v>0</v>
      </c>
      <c r="AM264" s="68">
        <v>0</v>
      </c>
    </row>
    <row r="265" spans="1:39" x14ac:dyDescent="0.2">
      <c r="A265" s="57" t="s">
        <v>2082</v>
      </c>
      <c r="B265" s="47">
        <v>46173</v>
      </c>
      <c r="C265" s="48"/>
      <c r="D265" s="48" t="s">
        <v>1472</v>
      </c>
      <c r="E265" s="49" t="s">
        <v>551</v>
      </c>
      <c r="F265" s="49" t="s">
        <v>552</v>
      </c>
      <c r="G265" s="47" t="e">
        <v>#N/A</v>
      </c>
      <c r="H265" s="47" t="s">
        <v>22</v>
      </c>
      <c r="I265" s="9" t="s">
        <v>547</v>
      </c>
      <c r="J265" s="40" t="s">
        <v>1757</v>
      </c>
      <c r="K265" s="40" t="s">
        <v>548</v>
      </c>
      <c r="L265" s="40" t="s">
        <v>35</v>
      </c>
      <c r="M265" s="11"/>
      <c r="N265" s="11"/>
      <c r="O265" s="50">
        <v>8.2080000000000002</v>
      </c>
      <c r="R265" s="9">
        <f>IFERROR(VLOOKUP(E265,Sheet6!$A$2:$B$500,2,FALSE),0)</f>
        <v>4</v>
      </c>
      <c r="S265" s="41">
        <f>IFERROR(VLOOKUP(E265,Sheet6!$C$2:$D$35017,2,FALSE),0)</f>
        <v>73.150000000000006</v>
      </c>
      <c r="U265" s="9">
        <f>IFERROR(VLOOKUP(E265,Sheet2!$AA$1:$AB$975,2,FALSE),0)</f>
        <v>0</v>
      </c>
      <c r="V265" s="41">
        <f>IFERROR(VLOOKUP(E265,Sheet2!$AC$1:$AD$975,2,FALSE),0)</f>
        <v>0</v>
      </c>
      <c r="W265" s="42">
        <f>IFERROR(VLOOKUP(E265,Sheet2!$AE$1:$AF$975,2,FALSE),0)</f>
        <v>0</v>
      </c>
      <c r="X265" s="43">
        <f>IFERROR(VLOOKUP(E265,Sheet2!$AG$1:$AH$975,2,FALSE),0)</f>
        <v>0</v>
      </c>
      <c r="Z265" s="60">
        <f>IFERROR(VLOOKUP(F265,Sheet2!$AA$1:$AB$975,2,FALSE),0)</f>
        <v>0</v>
      </c>
      <c r="AA265" s="64">
        <f>IFERROR(VLOOKUP(F265,Sheet2!$AC$1:$AD$975,2,FALSE),0)</f>
        <v>0</v>
      </c>
      <c r="AB265" s="65">
        <f>IFERROR(VLOOKUP(F265,Sheet2!$AE$2:$AF$6539,2,FALSE),0)</f>
        <v>0</v>
      </c>
      <c r="AC265" s="43">
        <f>IFERROR(VLOOKUP(F265,Sheet2!$AG$2:$AH$6539,2,FALSE),0)</f>
        <v>0</v>
      </c>
      <c r="AE265" s="112">
        <v>14</v>
      </c>
      <c r="AF265" s="9">
        <v>4</v>
      </c>
      <c r="AG265" s="9">
        <v>0</v>
      </c>
      <c r="AH265" s="9">
        <v>0</v>
      </c>
      <c r="AI265" s="9">
        <v>4</v>
      </c>
      <c r="AJ265" s="9">
        <f t="shared" si="10"/>
        <v>18</v>
      </c>
      <c r="AK265" s="45">
        <f t="shared" si="11"/>
        <v>147.744</v>
      </c>
      <c r="AL265" s="68">
        <v>18</v>
      </c>
      <c r="AM265" s="68">
        <v>0</v>
      </c>
    </row>
    <row r="266" spans="1:39" x14ac:dyDescent="0.2">
      <c r="A266" s="57" t="s">
        <v>2082</v>
      </c>
      <c r="B266" s="47">
        <v>46173</v>
      </c>
      <c r="C266" s="48"/>
      <c r="D266" s="48" t="s">
        <v>1473</v>
      </c>
      <c r="E266" s="49" t="s">
        <v>553</v>
      </c>
      <c r="F266" s="49" t="s">
        <v>554</v>
      </c>
      <c r="G266" s="47" t="e">
        <v>#N/A</v>
      </c>
      <c r="H266" s="47" t="s">
        <v>22</v>
      </c>
      <c r="I266" s="9" t="s">
        <v>547</v>
      </c>
      <c r="J266" s="40" t="s">
        <v>1757</v>
      </c>
      <c r="K266" s="40" t="s">
        <v>555</v>
      </c>
      <c r="L266" s="40" t="s">
        <v>29</v>
      </c>
      <c r="M266" s="11"/>
      <c r="N266" s="11"/>
      <c r="O266" s="50">
        <v>8.2080000000000002</v>
      </c>
      <c r="R266" s="9">
        <f>IFERROR(VLOOKUP(E266,Sheet6!$A$2:$B$500,2,FALSE),0)</f>
        <v>0</v>
      </c>
      <c r="S266" s="41">
        <f>IFERROR(VLOOKUP(E266,Sheet6!$C$2:$D$35017,2,FALSE),0)</f>
        <v>0</v>
      </c>
      <c r="U266" s="9">
        <f>IFERROR(VLOOKUP(E266,Sheet2!$AA$1:$AB$975,2,FALSE),0)</f>
        <v>2</v>
      </c>
      <c r="V266" s="41">
        <f>IFERROR(VLOOKUP(E266,Sheet2!$AC$1:$AD$975,2,FALSE),0)</f>
        <v>38</v>
      </c>
      <c r="W266" s="42">
        <f>IFERROR(VLOOKUP(E266,Sheet2!$AE$1:$AF$975,2,FALSE),0)</f>
        <v>34</v>
      </c>
      <c r="X266" s="43">
        <f>IFERROR(VLOOKUP(E266,Sheet2!$AG$1:$AH$975,2,FALSE),0)</f>
        <v>3.0300000000000001E-2</v>
      </c>
      <c r="Z266" s="60">
        <f>IFERROR(VLOOKUP(F266,Sheet2!$AA$1:$AB$975,2,FALSE),0)</f>
        <v>3</v>
      </c>
      <c r="AA266" s="64">
        <f>IFERROR(VLOOKUP(F266,Sheet2!$AC$1:$AD$975,2,FALSE),0)</f>
        <v>57</v>
      </c>
      <c r="AB266" s="65">
        <f>IFERROR(VLOOKUP(F266,Sheet2!$AE$2:$AF$6539,2,FALSE),0)</f>
        <v>34</v>
      </c>
      <c r="AC266" s="43">
        <f>IFERROR(VLOOKUP(F266,Sheet2!$AG$2:$AH$6539,2,FALSE),0)</f>
        <v>3.0300000000000001E-2</v>
      </c>
      <c r="AE266" s="112">
        <v>10</v>
      </c>
      <c r="AF266" s="9">
        <v>0</v>
      </c>
      <c r="AG266" s="9">
        <v>0</v>
      </c>
      <c r="AH266" s="9">
        <v>0</v>
      </c>
      <c r="AI266" s="9">
        <v>0</v>
      </c>
      <c r="AJ266" s="9">
        <f t="shared" si="10"/>
        <v>10</v>
      </c>
      <c r="AK266" s="45">
        <f t="shared" si="11"/>
        <v>82.08</v>
      </c>
      <c r="AL266" s="68">
        <v>12</v>
      </c>
      <c r="AM266" s="68">
        <v>12</v>
      </c>
    </row>
    <row r="267" spans="1:39" x14ac:dyDescent="0.2">
      <c r="A267" s="57" t="s">
        <v>2082</v>
      </c>
      <c r="B267" s="47">
        <v>46173</v>
      </c>
      <c r="C267" s="48"/>
      <c r="D267" s="48" t="s">
        <v>1474</v>
      </c>
      <c r="E267" s="49" t="s">
        <v>556</v>
      </c>
      <c r="F267" s="49" t="s">
        <v>557</v>
      </c>
      <c r="G267" s="47" t="e">
        <v>#N/A</v>
      </c>
      <c r="H267" s="47" t="s">
        <v>22</v>
      </c>
      <c r="I267" s="9" t="s">
        <v>547</v>
      </c>
      <c r="J267" s="40" t="s">
        <v>1757</v>
      </c>
      <c r="K267" s="40" t="s">
        <v>555</v>
      </c>
      <c r="L267" s="40" t="s">
        <v>32</v>
      </c>
      <c r="M267" s="11"/>
      <c r="N267" s="11"/>
      <c r="O267" s="50">
        <v>8.2080000000000002</v>
      </c>
      <c r="R267" s="9">
        <f>IFERROR(VLOOKUP(E267,Sheet6!$A$2:$B$500,2,FALSE),0)</f>
        <v>0</v>
      </c>
      <c r="S267" s="41">
        <f>IFERROR(VLOOKUP(E267,Sheet6!$C$2:$D$35017,2,FALSE),0)</f>
        <v>0</v>
      </c>
      <c r="U267" s="9">
        <f>IFERROR(VLOOKUP(E267,Sheet2!$AA$1:$AB$975,2,FALSE),0)</f>
        <v>0</v>
      </c>
      <c r="V267" s="41">
        <f>IFERROR(VLOOKUP(E267,Sheet2!$AC$1:$AD$975,2,FALSE),0)</f>
        <v>0</v>
      </c>
      <c r="W267" s="42">
        <f>IFERROR(VLOOKUP(E267,Sheet2!$AE$1:$AF$975,2,FALSE),0)</f>
        <v>0</v>
      </c>
      <c r="X267" s="43">
        <f>IFERROR(VLOOKUP(E267,Sheet2!$AG$1:$AH$975,2,FALSE),0)</f>
        <v>0</v>
      </c>
      <c r="Z267" s="60">
        <f>IFERROR(VLOOKUP(F267,Sheet2!$AA$1:$AB$975,2,FALSE),0)</f>
        <v>2</v>
      </c>
      <c r="AA267" s="64">
        <f>IFERROR(VLOOKUP(F267,Sheet2!$AC$1:$AD$975,2,FALSE),0)</f>
        <v>38</v>
      </c>
      <c r="AB267" s="65">
        <f>IFERROR(VLOOKUP(F267,Sheet2!$AE$2:$AF$6539,2,FALSE),0)</f>
        <v>47</v>
      </c>
      <c r="AC267" s="43">
        <f>IFERROR(VLOOKUP(F267,Sheet2!$AG$2:$AH$6539,2,FALSE),0)</f>
        <v>0.46550000000000002</v>
      </c>
      <c r="AE267" s="112">
        <v>59</v>
      </c>
      <c r="AF267" s="9">
        <v>7</v>
      </c>
      <c r="AG267" s="9">
        <v>0</v>
      </c>
      <c r="AH267" s="9">
        <v>0</v>
      </c>
      <c r="AI267" s="9">
        <v>7</v>
      </c>
      <c r="AJ267" s="9">
        <f t="shared" si="10"/>
        <v>66</v>
      </c>
      <c r="AK267" s="45">
        <f t="shared" si="11"/>
        <v>541.72800000000007</v>
      </c>
      <c r="AL267" s="68">
        <v>6</v>
      </c>
      <c r="AM267" s="68">
        <v>60</v>
      </c>
    </row>
    <row r="268" spans="1:39" x14ac:dyDescent="0.2">
      <c r="A268" s="57" t="s">
        <v>2082</v>
      </c>
      <c r="B268" s="47">
        <v>46173</v>
      </c>
      <c r="C268" s="48"/>
      <c r="D268" s="48" t="s">
        <v>1475</v>
      </c>
      <c r="E268" s="49" t="s">
        <v>558</v>
      </c>
      <c r="F268" s="49" t="s">
        <v>559</v>
      </c>
      <c r="G268" s="47" t="e">
        <v>#N/A</v>
      </c>
      <c r="H268" s="47" t="s">
        <v>22</v>
      </c>
      <c r="I268" s="9" t="s">
        <v>560</v>
      </c>
      <c r="J268" s="40" t="s">
        <v>1750</v>
      </c>
      <c r="K268" s="9" t="s">
        <v>195</v>
      </c>
      <c r="L268" s="40" t="s">
        <v>29</v>
      </c>
      <c r="M268" s="11"/>
      <c r="N268" s="11"/>
      <c r="O268" s="50">
        <v>6.048</v>
      </c>
      <c r="R268" s="9">
        <f>IFERROR(VLOOKUP(E268,Sheet6!$A$2:$B$500,2,FALSE),0)</f>
        <v>0</v>
      </c>
      <c r="S268" s="41">
        <f>IFERROR(VLOOKUP(E268,Sheet6!$C$2:$D$35017,2,FALSE),0)</f>
        <v>0</v>
      </c>
      <c r="U268" s="9">
        <f>IFERROR(VLOOKUP(E268,Sheet2!$AA$1:$AB$975,2,FALSE),0)</f>
        <v>0</v>
      </c>
      <c r="V268" s="41">
        <f>IFERROR(VLOOKUP(E268,Sheet2!$AC$1:$AD$975,2,FALSE),0)</f>
        <v>0</v>
      </c>
      <c r="W268" s="42">
        <f>IFERROR(VLOOKUP(E268,Sheet2!$AE$1:$AF$975,2,FALSE),0)</f>
        <v>0</v>
      </c>
      <c r="X268" s="43">
        <f>IFERROR(VLOOKUP(E268,Sheet2!$AG$1:$AH$975,2,FALSE),0)</f>
        <v>0</v>
      </c>
      <c r="Z268" s="60">
        <f>IFERROR(VLOOKUP(F268,Sheet2!$AA$1:$AB$975,2,FALSE),0)</f>
        <v>0</v>
      </c>
      <c r="AA268" s="64">
        <f>IFERROR(VLOOKUP(F268,Sheet2!$AC$1:$AD$975,2,FALSE),0)</f>
        <v>0</v>
      </c>
      <c r="AB268" s="65">
        <f>IFERROR(VLOOKUP(F268,Sheet2!$AE$2:$AF$6539,2,FALSE),0)</f>
        <v>0</v>
      </c>
      <c r="AC268" s="43">
        <f>IFERROR(VLOOKUP(F268,Sheet2!$AG$2:$AH$6539,2,FALSE),0)</f>
        <v>0</v>
      </c>
      <c r="AE268" s="112">
        <v>12</v>
      </c>
      <c r="AF268" s="9">
        <v>0</v>
      </c>
      <c r="AG268" s="9">
        <v>0</v>
      </c>
      <c r="AH268" s="9">
        <v>0</v>
      </c>
      <c r="AI268" s="9">
        <v>0</v>
      </c>
      <c r="AJ268" s="9">
        <f t="shared" si="10"/>
        <v>12</v>
      </c>
      <c r="AK268" s="45">
        <f t="shared" si="11"/>
        <v>72.575999999999993</v>
      </c>
      <c r="AL268" s="68">
        <v>0</v>
      </c>
      <c r="AM268" s="68">
        <v>0</v>
      </c>
    </row>
    <row r="269" spans="1:39" x14ac:dyDescent="0.2">
      <c r="A269" s="57" t="s">
        <v>2082</v>
      </c>
      <c r="B269" s="47">
        <v>46173</v>
      </c>
      <c r="C269" s="48"/>
      <c r="D269" s="48" t="s">
        <v>1476</v>
      </c>
      <c r="E269" s="49" t="s">
        <v>561</v>
      </c>
      <c r="F269" s="49" t="s">
        <v>562</v>
      </c>
      <c r="G269" s="47" t="e">
        <v>#N/A</v>
      </c>
      <c r="H269" s="47" t="s">
        <v>22</v>
      </c>
      <c r="I269" s="9" t="s">
        <v>560</v>
      </c>
      <c r="J269" s="40" t="s">
        <v>1750</v>
      </c>
      <c r="K269" s="9" t="s">
        <v>195</v>
      </c>
      <c r="L269" s="40" t="s">
        <v>32</v>
      </c>
      <c r="M269" s="11"/>
      <c r="N269" s="11"/>
      <c r="O269" s="50">
        <v>6.048</v>
      </c>
      <c r="R269" s="9">
        <f>IFERROR(VLOOKUP(E269,Sheet6!$A$2:$B$500,2,FALSE),0)</f>
        <v>0</v>
      </c>
      <c r="S269" s="41">
        <f>IFERROR(VLOOKUP(E269,Sheet6!$C$2:$D$35017,2,FALSE),0)</f>
        <v>0</v>
      </c>
      <c r="U269" s="9">
        <f>IFERROR(VLOOKUP(E269,Sheet2!$AA$1:$AB$975,2,FALSE),0)</f>
        <v>0</v>
      </c>
      <c r="V269" s="41">
        <f>IFERROR(VLOOKUP(E269,Sheet2!$AC$1:$AD$975,2,FALSE),0)</f>
        <v>0</v>
      </c>
      <c r="W269" s="42">
        <f>IFERROR(VLOOKUP(E269,Sheet2!$AE$1:$AF$975,2,FALSE),0)</f>
        <v>0</v>
      </c>
      <c r="X269" s="43">
        <f>IFERROR(VLOOKUP(E269,Sheet2!$AG$1:$AH$975,2,FALSE),0)</f>
        <v>0</v>
      </c>
      <c r="Z269" s="60">
        <f>IFERROR(VLOOKUP(F269,Sheet2!$AA$1:$AB$975,2,FALSE),0)</f>
        <v>0</v>
      </c>
      <c r="AA269" s="64">
        <f>IFERROR(VLOOKUP(F269,Sheet2!$AC$1:$AD$975,2,FALSE),0)</f>
        <v>0</v>
      </c>
      <c r="AB269" s="65">
        <f>IFERROR(VLOOKUP(F269,Sheet2!$AE$2:$AF$6539,2,FALSE),0)</f>
        <v>0</v>
      </c>
      <c r="AC269" s="43">
        <f>IFERROR(VLOOKUP(F269,Sheet2!$AG$2:$AH$6539,2,FALSE),0)</f>
        <v>0</v>
      </c>
      <c r="AE269" s="112">
        <v>0</v>
      </c>
      <c r="AF269" s="9">
        <v>0</v>
      </c>
      <c r="AG269" s="9">
        <v>0</v>
      </c>
      <c r="AH269" s="9">
        <v>0</v>
      </c>
      <c r="AI269" s="9">
        <v>0</v>
      </c>
      <c r="AJ269" s="9">
        <f t="shared" si="10"/>
        <v>0</v>
      </c>
      <c r="AK269" s="45">
        <f t="shared" si="11"/>
        <v>0</v>
      </c>
      <c r="AL269" s="68">
        <v>0</v>
      </c>
      <c r="AM269" s="68">
        <v>0</v>
      </c>
    </row>
    <row r="270" spans="1:39" x14ac:dyDescent="0.2">
      <c r="A270" s="57" t="s">
        <v>2082</v>
      </c>
      <c r="B270" s="47">
        <v>46173</v>
      </c>
      <c r="C270" s="48"/>
      <c r="D270" s="48" t="s">
        <v>1477</v>
      </c>
      <c r="E270" s="49" t="s">
        <v>563</v>
      </c>
      <c r="F270" s="49" t="s">
        <v>564</v>
      </c>
      <c r="G270" s="47" t="e">
        <v>#N/A</v>
      </c>
      <c r="H270" s="47" t="s">
        <v>22</v>
      </c>
      <c r="I270" s="9" t="s">
        <v>560</v>
      </c>
      <c r="J270" s="40" t="s">
        <v>1750</v>
      </c>
      <c r="K270" s="9" t="s">
        <v>24</v>
      </c>
      <c r="L270" s="9" t="s">
        <v>29</v>
      </c>
      <c r="M270" s="11"/>
      <c r="N270" s="11"/>
      <c r="O270" s="50">
        <v>6.048</v>
      </c>
      <c r="R270" s="9">
        <f>IFERROR(VLOOKUP(E270,Sheet6!$A$2:$B$500,2,FALSE),0)</f>
        <v>0</v>
      </c>
      <c r="S270" s="41">
        <f>IFERROR(VLOOKUP(E270,Sheet6!$C$2:$D$35017,2,FALSE),0)</f>
        <v>0</v>
      </c>
      <c r="U270" s="9">
        <f>IFERROR(VLOOKUP(E270,Sheet2!$AA$1:$AB$975,2,FALSE),0)</f>
        <v>0</v>
      </c>
      <c r="V270" s="41">
        <f>IFERROR(VLOOKUP(E270,Sheet2!$AC$1:$AD$975,2,FALSE),0)</f>
        <v>0</v>
      </c>
      <c r="W270" s="42">
        <f>IFERROR(VLOOKUP(E270,Sheet2!$AE$1:$AF$975,2,FALSE),0)</f>
        <v>0</v>
      </c>
      <c r="X270" s="43">
        <f>IFERROR(VLOOKUP(E270,Sheet2!$AG$1:$AH$975,2,FALSE),0)</f>
        <v>0</v>
      </c>
      <c r="Z270" s="60">
        <f>IFERROR(VLOOKUP(F270,Sheet2!$AA$1:$AB$975,2,FALSE),0)</f>
        <v>0</v>
      </c>
      <c r="AA270" s="64">
        <f>IFERROR(VLOOKUP(F270,Sheet2!$AC$1:$AD$975,2,FALSE),0)</f>
        <v>0</v>
      </c>
      <c r="AB270" s="65">
        <f>IFERROR(VLOOKUP(F270,Sheet2!$AE$2:$AF$6539,2,FALSE),0)</f>
        <v>0</v>
      </c>
      <c r="AC270" s="43">
        <f>IFERROR(VLOOKUP(F270,Sheet2!$AG$2:$AH$6539,2,FALSE),0)</f>
        <v>0</v>
      </c>
      <c r="AE270" s="112">
        <v>0</v>
      </c>
      <c r="AF270" s="9">
        <v>0</v>
      </c>
      <c r="AG270" s="9">
        <v>0</v>
      </c>
      <c r="AH270" s="9">
        <v>0</v>
      </c>
      <c r="AI270" s="9">
        <v>0</v>
      </c>
      <c r="AJ270" s="9">
        <f t="shared" si="10"/>
        <v>0</v>
      </c>
      <c r="AK270" s="45">
        <f t="shared" si="11"/>
        <v>0</v>
      </c>
      <c r="AL270" s="68">
        <v>0</v>
      </c>
      <c r="AM270" s="68">
        <v>0</v>
      </c>
    </row>
    <row r="271" spans="1:39" x14ac:dyDescent="0.2">
      <c r="A271" s="57" t="s">
        <v>2082</v>
      </c>
      <c r="B271" s="47">
        <v>46173</v>
      </c>
      <c r="C271" s="48"/>
      <c r="D271" s="48" t="s">
        <v>1478</v>
      </c>
      <c r="E271" s="49" t="s">
        <v>565</v>
      </c>
      <c r="F271" s="49" t="s">
        <v>566</v>
      </c>
      <c r="G271" s="47" t="e">
        <v>#N/A</v>
      </c>
      <c r="H271" s="47" t="s">
        <v>22</v>
      </c>
      <c r="I271" s="9" t="s">
        <v>560</v>
      </c>
      <c r="J271" s="40" t="s">
        <v>1750</v>
      </c>
      <c r="K271" s="40" t="s">
        <v>24</v>
      </c>
      <c r="L271" s="40" t="s">
        <v>32</v>
      </c>
      <c r="M271" s="11"/>
      <c r="N271" s="11"/>
      <c r="O271" s="50">
        <v>6.048</v>
      </c>
      <c r="R271" s="9">
        <f>IFERROR(VLOOKUP(E271,Sheet6!$A$2:$B$500,2,FALSE),0)</f>
        <v>0</v>
      </c>
      <c r="S271" s="41">
        <f>IFERROR(VLOOKUP(E271,Sheet6!$C$2:$D$35017,2,FALSE),0)</f>
        <v>0</v>
      </c>
      <c r="U271" s="9">
        <f>IFERROR(VLOOKUP(E271,Sheet2!$AA$1:$AB$975,2,FALSE),0)</f>
        <v>0</v>
      </c>
      <c r="V271" s="41">
        <f>IFERROR(VLOOKUP(E271,Sheet2!$AC$1:$AD$975,2,FALSE),0)</f>
        <v>0</v>
      </c>
      <c r="W271" s="42">
        <f>IFERROR(VLOOKUP(E271,Sheet2!$AE$1:$AF$975,2,FALSE),0)</f>
        <v>0</v>
      </c>
      <c r="X271" s="43">
        <f>IFERROR(VLOOKUP(E271,Sheet2!$AG$1:$AH$975,2,FALSE),0)</f>
        <v>0</v>
      </c>
      <c r="Z271" s="60">
        <f>IFERROR(VLOOKUP(F271,Sheet2!$AA$1:$AB$975,2,FALSE),0)</f>
        <v>0</v>
      </c>
      <c r="AA271" s="64">
        <f>IFERROR(VLOOKUP(F271,Sheet2!$AC$1:$AD$975,2,FALSE),0)</f>
        <v>0</v>
      </c>
      <c r="AB271" s="65">
        <f>IFERROR(VLOOKUP(F271,Sheet2!$AE$2:$AF$6539,2,FALSE),0)</f>
        <v>0</v>
      </c>
      <c r="AC271" s="43">
        <f>IFERROR(VLOOKUP(F271,Sheet2!$AG$2:$AH$6539,2,FALSE),0)</f>
        <v>0</v>
      </c>
      <c r="AE271" s="112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f t="shared" si="10"/>
        <v>0</v>
      </c>
      <c r="AK271" s="45">
        <f t="shared" si="11"/>
        <v>0</v>
      </c>
      <c r="AL271" s="68">
        <v>0</v>
      </c>
      <c r="AM271" s="68">
        <v>0</v>
      </c>
    </row>
    <row r="272" spans="1:39" x14ac:dyDescent="0.2">
      <c r="A272" s="57" t="s">
        <v>2082</v>
      </c>
      <c r="B272" s="47">
        <v>46173</v>
      </c>
      <c r="C272" s="111"/>
      <c r="D272" s="48" t="s">
        <v>1479</v>
      </c>
      <c r="E272" s="49" t="s">
        <v>569</v>
      </c>
      <c r="F272" s="49" t="s">
        <v>570</v>
      </c>
      <c r="G272" s="47" t="e">
        <v>#N/A</v>
      </c>
      <c r="H272" s="47" t="s">
        <v>22</v>
      </c>
      <c r="I272" s="9" t="s">
        <v>567</v>
      </c>
      <c r="J272" s="40" t="s">
        <v>568</v>
      </c>
      <c r="K272" s="9" t="s">
        <v>189</v>
      </c>
      <c r="L272" s="9" t="s">
        <v>188</v>
      </c>
      <c r="M272" s="11"/>
      <c r="N272" s="11"/>
      <c r="O272" s="50">
        <v>6.2100000000000009</v>
      </c>
      <c r="R272" s="9">
        <f>IFERROR(VLOOKUP(E272,Sheet6!$A$2:$B$500,2,FALSE),0)</f>
        <v>0</v>
      </c>
      <c r="S272" s="41">
        <f>IFERROR(VLOOKUP(E272,Sheet6!$C$2:$D$35017,2,FALSE),0)</f>
        <v>0</v>
      </c>
      <c r="U272" s="9">
        <f>IFERROR(VLOOKUP(E272,Sheet2!$AA$1:$AB$975,2,FALSE),0)</f>
        <v>0</v>
      </c>
      <c r="V272" s="41">
        <f>IFERROR(VLOOKUP(E272,Sheet2!$AC$1:$AD$975,2,FALSE),0)</f>
        <v>0</v>
      </c>
      <c r="W272" s="42">
        <f>IFERROR(VLOOKUP(E272,Sheet2!$AE$1:$AF$975,2,FALSE),0)</f>
        <v>0</v>
      </c>
      <c r="X272" s="43">
        <f>IFERROR(VLOOKUP(E272,Sheet2!$AG$1:$AH$975,2,FALSE),0)</f>
        <v>0</v>
      </c>
      <c r="Z272" s="60">
        <f>IFERROR(VLOOKUP(F272,Sheet2!$AA$1:$AB$975,2,FALSE),0)</f>
        <v>0</v>
      </c>
      <c r="AA272" s="64">
        <f>IFERROR(VLOOKUP(F272,Sheet2!$AC$1:$AD$975,2,FALSE),0)</f>
        <v>0</v>
      </c>
      <c r="AB272" s="65">
        <f>IFERROR(VLOOKUP(F272,Sheet2!$AE$2:$AF$6539,2,FALSE),0)</f>
        <v>0</v>
      </c>
      <c r="AC272" s="43">
        <f>IFERROR(VLOOKUP(F272,Sheet2!$AG$2:$AH$6539,2,FALSE),0)</f>
        <v>0</v>
      </c>
      <c r="AE272" s="112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f t="shared" si="10"/>
        <v>0</v>
      </c>
      <c r="AK272" s="45">
        <f t="shared" si="11"/>
        <v>0</v>
      </c>
      <c r="AL272" s="68">
        <v>0</v>
      </c>
      <c r="AM272" s="68">
        <v>0</v>
      </c>
    </row>
    <row r="273" spans="1:39" x14ac:dyDescent="0.2">
      <c r="A273" s="57" t="s">
        <v>2082</v>
      </c>
      <c r="B273" s="47">
        <v>46173</v>
      </c>
      <c r="C273" s="111"/>
      <c r="D273" s="48" t="s">
        <v>1480</v>
      </c>
      <c r="E273" s="49" t="s">
        <v>571</v>
      </c>
      <c r="F273" s="49" t="s">
        <v>572</v>
      </c>
      <c r="G273" s="47" t="e">
        <v>#N/A</v>
      </c>
      <c r="H273" s="47" t="s">
        <v>22</v>
      </c>
      <c r="I273" s="9" t="s">
        <v>567</v>
      </c>
      <c r="J273" s="40" t="s">
        <v>568</v>
      </c>
      <c r="K273" s="9" t="s">
        <v>189</v>
      </c>
      <c r="L273" s="9" t="s">
        <v>29</v>
      </c>
      <c r="M273" s="11"/>
      <c r="N273" s="11"/>
      <c r="O273" s="50">
        <v>6.2100000000000009</v>
      </c>
      <c r="R273" s="9">
        <f>IFERROR(VLOOKUP(E273,Sheet6!$A$2:$B$500,2,FALSE),0)</f>
        <v>0</v>
      </c>
      <c r="S273" s="41">
        <f>IFERROR(VLOOKUP(E273,Sheet6!$C$2:$D$35017,2,FALSE),0)</f>
        <v>0</v>
      </c>
      <c r="U273" s="9">
        <f>IFERROR(VLOOKUP(E273,Sheet2!$AA$1:$AB$975,2,FALSE),0)</f>
        <v>0</v>
      </c>
      <c r="V273" s="41">
        <f>IFERROR(VLOOKUP(E273,Sheet2!$AC$1:$AD$975,2,FALSE),0)</f>
        <v>0</v>
      </c>
      <c r="W273" s="42">
        <f>IFERROR(VLOOKUP(E273,Sheet2!$AE$1:$AF$975,2,FALSE),0)</f>
        <v>0</v>
      </c>
      <c r="X273" s="43">
        <f>IFERROR(VLOOKUP(E273,Sheet2!$AG$1:$AH$975,2,FALSE),0)</f>
        <v>0</v>
      </c>
      <c r="Z273" s="60">
        <f>IFERROR(VLOOKUP(F273,Sheet2!$AA$1:$AB$975,2,FALSE),0)</f>
        <v>0</v>
      </c>
      <c r="AA273" s="64">
        <f>IFERROR(VLOOKUP(F273,Sheet2!$AC$1:$AD$975,2,FALSE),0)</f>
        <v>0</v>
      </c>
      <c r="AB273" s="65">
        <f>IFERROR(VLOOKUP(F273,Sheet2!$AE$2:$AF$6539,2,FALSE),0)</f>
        <v>0</v>
      </c>
      <c r="AC273" s="43">
        <f>IFERROR(VLOOKUP(F273,Sheet2!$AG$2:$AH$6539,2,FALSE),0)</f>
        <v>0</v>
      </c>
      <c r="AE273" s="112">
        <v>0</v>
      </c>
      <c r="AF273" s="9">
        <v>0</v>
      </c>
      <c r="AG273" s="9">
        <v>0</v>
      </c>
      <c r="AH273" s="9">
        <v>0</v>
      </c>
      <c r="AI273" s="9">
        <v>0</v>
      </c>
      <c r="AJ273" s="9">
        <f t="shared" si="10"/>
        <v>0</v>
      </c>
      <c r="AK273" s="45">
        <f t="shared" si="11"/>
        <v>0</v>
      </c>
      <c r="AL273" s="68">
        <v>0</v>
      </c>
      <c r="AM273" s="68">
        <v>0</v>
      </c>
    </row>
    <row r="274" spans="1:39" x14ac:dyDescent="0.2">
      <c r="A274" s="57" t="s">
        <v>2082</v>
      </c>
      <c r="B274" s="47">
        <v>46173</v>
      </c>
      <c r="C274" s="111"/>
      <c r="D274" s="48" t="s">
        <v>1481</v>
      </c>
      <c r="E274" s="49" t="s">
        <v>573</v>
      </c>
      <c r="F274" s="49" t="s">
        <v>574</v>
      </c>
      <c r="G274" s="47" t="e">
        <v>#N/A</v>
      </c>
      <c r="H274" s="47" t="s">
        <v>22</v>
      </c>
      <c r="I274" s="9" t="s">
        <v>567</v>
      </c>
      <c r="J274" s="40" t="s">
        <v>568</v>
      </c>
      <c r="K274" s="9" t="s">
        <v>200</v>
      </c>
      <c r="L274" s="9" t="s">
        <v>188</v>
      </c>
      <c r="M274" s="11"/>
      <c r="N274" s="11"/>
      <c r="O274" s="50">
        <v>6.2100000000000009</v>
      </c>
      <c r="R274" s="9">
        <f>IFERROR(VLOOKUP(E274,Sheet6!$A$2:$B$500,2,FALSE),0)</f>
        <v>0</v>
      </c>
      <c r="S274" s="41">
        <f>IFERROR(VLOOKUP(E274,Sheet6!$C$2:$D$35017,2,FALSE),0)</f>
        <v>0</v>
      </c>
      <c r="U274" s="9">
        <f>IFERROR(VLOOKUP(E274,Sheet2!$AA$1:$AB$975,2,FALSE),0)</f>
        <v>0</v>
      </c>
      <c r="V274" s="41">
        <f>IFERROR(VLOOKUP(E274,Sheet2!$AC$1:$AD$975,2,FALSE),0)</f>
        <v>0</v>
      </c>
      <c r="W274" s="42">
        <f>IFERROR(VLOOKUP(E274,Sheet2!$AE$1:$AF$975,2,FALSE),0)</f>
        <v>0</v>
      </c>
      <c r="X274" s="43">
        <f>IFERROR(VLOOKUP(E274,Sheet2!$AG$1:$AH$975,2,FALSE),0)</f>
        <v>0</v>
      </c>
      <c r="Z274" s="60">
        <f>IFERROR(VLOOKUP(F274,Sheet2!$AA$1:$AB$975,2,FALSE),0)</f>
        <v>0</v>
      </c>
      <c r="AA274" s="64">
        <f>IFERROR(VLOOKUP(F274,Sheet2!$AC$1:$AD$975,2,FALSE),0)</f>
        <v>0</v>
      </c>
      <c r="AB274" s="65">
        <f>IFERROR(VLOOKUP(F274,Sheet2!$AE$2:$AF$6539,2,FALSE),0)</f>
        <v>0</v>
      </c>
      <c r="AC274" s="43">
        <f>IFERROR(VLOOKUP(F274,Sheet2!$AG$2:$AH$6539,2,FALSE),0)</f>
        <v>0</v>
      </c>
      <c r="AE274" s="112">
        <v>0</v>
      </c>
      <c r="AF274" s="9">
        <v>0</v>
      </c>
      <c r="AG274" s="9">
        <v>0</v>
      </c>
      <c r="AH274" s="9">
        <v>0</v>
      </c>
      <c r="AI274" s="9">
        <v>0</v>
      </c>
      <c r="AJ274" s="9">
        <f t="shared" si="10"/>
        <v>0</v>
      </c>
      <c r="AK274" s="45">
        <f t="shared" si="11"/>
        <v>0</v>
      </c>
      <c r="AL274" s="68">
        <v>0</v>
      </c>
      <c r="AM274" s="68">
        <v>0</v>
      </c>
    </row>
    <row r="275" spans="1:39" x14ac:dyDescent="0.2">
      <c r="A275" s="57" t="s">
        <v>2082</v>
      </c>
      <c r="B275" s="47">
        <v>46173</v>
      </c>
      <c r="C275" s="111"/>
      <c r="D275" s="48" t="s">
        <v>1482</v>
      </c>
      <c r="E275" s="49" t="s">
        <v>575</v>
      </c>
      <c r="F275" s="49" t="s">
        <v>576</v>
      </c>
      <c r="G275" s="47" t="e">
        <v>#N/A</v>
      </c>
      <c r="H275" s="47" t="s">
        <v>22</v>
      </c>
      <c r="I275" s="9" t="s">
        <v>567</v>
      </c>
      <c r="J275" s="40" t="s">
        <v>568</v>
      </c>
      <c r="K275" s="9" t="s">
        <v>200</v>
      </c>
      <c r="L275" s="9" t="s">
        <v>29</v>
      </c>
      <c r="M275" s="11"/>
      <c r="N275" s="11"/>
      <c r="O275" s="50">
        <v>6.2100000000000009</v>
      </c>
      <c r="R275" s="9">
        <f>IFERROR(VLOOKUP(E275,Sheet6!$A$2:$B$500,2,FALSE),0)</f>
        <v>0</v>
      </c>
      <c r="S275" s="41">
        <f>IFERROR(VLOOKUP(E275,Sheet6!$C$2:$D$35017,2,FALSE),0)</f>
        <v>0</v>
      </c>
      <c r="U275" s="9">
        <f>IFERROR(VLOOKUP(E275,Sheet2!$AA$1:$AB$975,2,FALSE),0)</f>
        <v>0</v>
      </c>
      <c r="V275" s="41">
        <f>IFERROR(VLOOKUP(E275,Sheet2!$AC$1:$AD$975,2,FALSE),0)</f>
        <v>0</v>
      </c>
      <c r="W275" s="42">
        <f>IFERROR(VLOOKUP(E275,Sheet2!$AE$1:$AF$975,2,FALSE),0)</f>
        <v>0</v>
      </c>
      <c r="X275" s="43">
        <f>IFERROR(VLOOKUP(E275,Sheet2!$AG$1:$AH$975,2,FALSE),0)</f>
        <v>0</v>
      </c>
      <c r="Z275" s="60">
        <f>IFERROR(VLOOKUP(F275,Sheet2!$AA$1:$AB$975,2,FALSE),0)</f>
        <v>0</v>
      </c>
      <c r="AA275" s="64">
        <f>IFERROR(VLOOKUP(F275,Sheet2!$AC$1:$AD$975,2,FALSE),0)</f>
        <v>0</v>
      </c>
      <c r="AB275" s="65">
        <f>IFERROR(VLOOKUP(F275,Sheet2!$AE$2:$AF$6539,2,FALSE),0)</f>
        <v>0</v>
      </c>
      <c r="AC275" s="43">
        <f>IFERROR(VLOOKUP(F275,Sheet2!$AG$2:$AH$6539,2,FALSE),0)</f>
        <v>0</v>
      </c>
      <c r="AE275" s="112">
        <v>0</v>
      </c>
      <c r="AF275" s="9">
        <v>0</v>
      </c>
      <c r="AG275" s="9">
        <v>0</v>
      </c>
      <c r="AH275" s="9">
        <v>0</v>
      </c>
      <c r="AI275" s="9">
        <v>0</v>
      </c>
      <c r="AJ275" s="9">
        <f t="shared" si="10"/>
        <v>0</v>
      </c>
      <c r="AK275" s="45">
        <f t="shared" si="11"/>
        <v>0</v>
      </c>
      <c r="AL275" s="68">
        <v>0</v>
      </c>
      <c r="AM275" s="68">
        <v>0</v>
      </c>
    </row>
    <row r="276" spans="1:39" x14ac:dyDescent="0.2">
      <c r="A276" s="57" t="s">
        <v>2082</v>
      </c>
      <c r="B276" s="47">
        <v>46173</v>
      </c>
      <c r="C276" s="111"/>
      <c r="D276" s="48" t="s">
        <v>1483</v>
      </c>
      <c r="E276" s="49" t="s">
        <v>577</v>
      </c>
      <c r="F276" s="49" t="s">
        <v>578</v>
      </c>
      <c r="G276" s="47" t="e">
        <v>#N/A</v>
      </c>
      <c r="H276" s="47" t="s">
        <v>22</v>
      </c>
      <c r="I276" s="9" t="s">
        <v>567</v>
      </c>
      <c r="J276" s="40" t="s">
        <v>568</v>
      </c>
      <c r="K276" s="9" t="s">
        <v>579</v>
      </c>
      <c r="L276" s="9" t="s">
        <v>188</v>
      </c>
      <c r="M276" s="11"/>
      <c r="N276" s="11"/>
      <c r="O276" s="50">
        <v>6.2100000000000009</v>
      </c>
      <c r="R276" s="9">
        <f>IFERROR(VLOOKUP(E276,Sheet6!$A$2:$B$500,2,FALSE),0)</f>
        <v>0</v>
      </c>
      <c r="S276" s="41">
        <f>IFERROR(VLOOKUP(E276,Sheet6!$C$2:$D$35017,2,FALSE),0)</f>
        <v>0</v>
      </c>
      <c r="U276" s="9">
        <f>IFERROR(VLOOKUP(E276,Sheet2!$AA$1:$AB$975,2,FALSE),0)</f>
        <v>0</v>
      </c>
      <c r="V276" s="41">
        <f>IFERROR(VLOOKUP(E276,Sheet2!$AC$1:$AD$975,2,FALSE),0)</f>
        <v>0</v>
      </c>
      <c r="W276" s="42">
        <f>IFERROR(VLOOKUP(E276,Sheet2!$AE$1:$AF$975,2,FALSE),0)</f>
        <v>0</v>
      </c>
      <c r="X276" s="43">
        <f>IFERROR(VLOOKUP(E276,Sheet2!$AG$1:$AH$975,2,FALSE),0)</f>
        <v>0</v>
      </c>
      <c r="Z276" s="60">
        <f>IFERROR(VLOOKUP(F276,Sheet2!$AA$1:$AB$975,2,FALSE),0)</f>
        <v>0</v>
      </c>
      <c r="AA276" s="64">
        <f>IFERROR(VLOOKUP(F276,Sheet2!$AC$1:$AD$975,2,FALSE),0)</f>
        <v>0</v>
      </c>
      <c r="AB276" s="65">
        <f>IFERROR(VLOOKUP(F276,Sheet2!$AE$2:$AF$6539,2,FALSE),0)</f>
        <v>0</v>
      </c>
      <c r="AC276" s="43">
        <f>IFERROR(VLOOKUP(F276,Sheet2!$AG$2:$AH$6539,2,FALSE),0)</f>
        <v>0</v>
      </c>
      <c r="AE276" s="112">
        <v>0</v>
      </c>
      <c r="AF276" s="9">
        <v>0</v>
      </c>
      <c r="AG276" s="9">
        <v>0</v>
      </c>
      <c r="AH276" s="9">
        <v>0</v>
      </c>
      <c r="AI276" s="9">
        <v>0</v>
      </c>
      <c r="AJ276" s="9">
        <f t="shared" si="10"/>
        <v>0</v>
      </c>
      <c r="AK276" s="45">
        <f t="shared" si="11"/>
        <v>0</v>
      </c>
      <c r="AL276" s="68">
        <v>0</v>
      </c>
      <c r="AM276" s="68">
        <v>0</v>
      </c>
    </row>
    <row r="277" spans="1:39" x14ac:dyDescent="0.2">
      <c r="A277" s="57" t="s">
        <v>2082</v>
      </c>
      <c r="B277" s="47">
        <v>46173</v>
      </c>
      <c r="C277" s="111"/>
      <c r="D277" s="48" t="s">
        <v>1484</v>
      </c>
      <c r="E277" s="49" t="s">
        <v>580</v>
      </c>
      <c r="F277" s="49" t="s">
        <v>581</v>
      </c>
      <c r="G277" s="47" t="e">
        <v>#N/A</v>
      </c>
      <c r="H277" s="47" t="s">
        <v>22</v>
      </c>
      <c r="I277" s="9" t="s">
        <v>582</v>
      </c>
      <c r="J277" s="40" t="s">
        <v>583</v>
      </c>
      <c r="K277" s="9" t="s">
        <v>41</v>
      </c>
      <c r="L277" s="9" t="s">
        <v>188</v>
      </c>
      <c r="M277" s="11"/>
      <c r="N277" s="11"/>
      <c r="O277" s="50">
        <v>7.1550000000000002</v>
      </c>
      <c r="R277" s="9">
        <f>IFERROR(VLOOKUP(E277,Sheet6!$A$2:$B$500,2,FALSE),0)</f>
        <v>0</v>
      </c>
      <c r="S277" s="41">
        <f>IFERROR(VLOOKUP(E277,Sheet6!$C$2:$D$35017,2,FALSE),0)</f>
        <v>0</v>
      </c>
      <c r="U277" s="9">
        <f>IFERROR(VLOOKUP(E277,Sheet2!$AA$1:$AB$975,2,FALSE),0)</f>
        <v>0</v>
      </c>
      <c r="V277" s="41">
        <f>IFERROR(VLOOKUP(E277,Sheet2!$AC$1:$AD$975,2,FALSE),0)</f>
        <v>0</v>
      </c>
      <c r="W277" s="42">
        <f>IFERROR(VLOOKUP(E277,Sheet2!$AE$1:$AF$975,2,FALSE),0)</f>
        <v>0</v>
      </c>
      <c r="X277" s="43">
        <f>IFERROR(VLOOKUP(E277,Sheet2!$AG$1:$AH$975,2,FALSE),0)</f>
        <v>0</v>
      </c>
      <c r="Z277" s="60">
        <f>IFERROR(VLOOKUP(F277,Sheet2!$AA$1:$AB$975,2,FALSE),0)</f>
        <v>0</v>
      </c>
      <c r="AA277" s="64">
        <f>IFERROR(VLOOKUP(F277,Sheet2!$AC$1:$AD$975,2,FALSE),0)</f>
        <v>0</v>
      </c>
      <c r="AB277" s="65">
        <f>IFERROR(VLOOKUP(F277,Sheet2!$AE$2:$AF$6539,2,FALSE),0)</f>
        <v>0</v>
      </c>
      <c r="AC277" s="43">
        <f>IFERROR(VLOOKUP(F277,Sheet2!$AG$2:$AH$6539,2,FALSE),0)</f>
        <v>0</v>
      </c>
      <c r="AE277" s="112">
        <v>0</v>
      </c>
      <c r="AF277" s="9">
        <v>0</v>
      </c>
      <c r="AG277" s="9">
        <v>0</v>
      </c>
      <c r="AH277" s="9">
        <v>0</v>
      </c>
      <c r="AI277" s="9">
        <v>0</v>
      </c>
      <c r="AJ277" s="9">
        <f t="shared" si="10"/>
        <v>0</v>
      </c>
      <c r="AK277" s="45">
        <f t="shared" si="11"/>
        <v>0</v>
      </c>
      <c r="AL277" s="68">
        <v>0</v>
      </c>
      <c r="AM277" s="68">
        <v>0</v>
      </c>
    </row>
    <row r="278" spans="1:39" x14ac:dyDescent="0.2">
      <c r="A278" s="57" t="s">
        <v>2082</v>
      </c>
      <c r="B278" s="47">
        <v>46173</v>
      </c>
      <c r="C278" s="111"/>
      <c r="D278" s="48" t="s">
        <v>1485</v>
      </c>
      <c r="E278" s="49" t="s">
        <v>584</v>
      </c>
      <c r="F278" s="49" t="s">
        <v>585</v>
      </c>
      <c r="G278" s="47" t="e">
        <v>#N/A</v>
      </c>
      <c r="H278" s="47" t="s">
        <v>22</v>
      </c>
      <c r="I278" s="9" t="s">
        <v>582</v>
      </c>
      <c r="J278" s="40" t="s">
        <v>583</v>
      </c>
      <c r="K278" s="9" t="s">
        <v>586</v>
      </c>
      <c r="L278" s="9" t="s">
        <v>188</v>
      </c>
      <c r="M278" s="11"/>
      <c r="N278" s="11"/>
      <c r="O278" s="50">
        <v>7.1550000000000002</v>
      </c>
      <c r="R278" s="9">
        <f>IFERROR(VLOOKUP(E278,Sheet6!$A$2:$B$500,2,FALSE),0)</f>
        <v>0</v>
      </c>
      <c r="S278" s="41">
        <f>IFERROR(VLOOKUP(E278,Sheet6!$C$2:$D$35017,2,FALSE),0)</f>
        <v>0</v>
      </c>
      <c r="U278" s="9">
        <f>IFERROR(VLOOKUP(E278,Sheet2!$AA$1:$AB$975,2,FALSE),0)</f>
        <v>0</v>
      </c>
      <c r="V278" s="41">
        <f>IFERROR(VLOOKUP(E278,Sheet2!$AC$1:$AD$975,2,FALSE),0)</f>
        <v>0</v>
      </c>
      <c r="W278" s="42">
        <f>IFERROR(VLOOKUP(E278,Sheet2!$AE$1:$AF$975,2,FALSE),0)</f>
        <v>0</v>
      </c>
      <c r="X278" s="43">
        <f>IFERROR(VLOOKUP(E278,Sheet2!$AG$1:$AH$975,2,FALSE),0)</f>
        <v>0</v>
      </c>
      <c r="Z278" s="60">
        <f>IFERROR(VLOOKUP(F278,Sheet2!$AA$1:$AB$975,2,FALSE),0)</f>
        <v>0</v>
      </c>
      <c r="AA278" s="64">
        <f>IFERROR(VLOOKUP(F278,Sheet2!$AC$1:$AD$975,2,FALSE),0)</f>
        <v>0</v>
      </c>
      <c r="AB278" s="65">
        <f>IFERROR(VLOOKUP(F278,Sheet2!$AE$2:$AF$6539,2,FALSE),0)</f>
        <v>0</v>
      </c>
      <c r="AC278" s="43">
        <f>IFERROR(VLOOKUP(F278,Sheet2!$AG$2:$AH$6539,2,FALSE),0)</f>
        <v>0</v>
      </c>
      <c r="AE278" s="112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f t="shared" si="10"/>
        <v>0</v>
      </c>
      <c r="AK278" s="45">
        <f t="shared" si="11"/>
        <v>0</v>
      </c>
      <c r="AL278" s="68">
        <v>0</v>
      </c>
      <c r="AM278" s="68">
        <v>0</v>
      </c>
    </row>
    <row r="279" spans="1:39" x14ac:dyDescent="0.2">
      <c r="A279" s="57" t="s">
        <v>2082</v>
      </c>
      <c r="B279" s="47">
        <v>46173</v>
      </c>
      <c r="C279" s="111"/>
      <c r="D279" s="48" t="s">
        <v>1486</v>
      </c>
      <c r="E279" s="49" t="s">
        <v>587</v>
      </c>
      <c r="F279" s="49" t="s">
        <v>588</v>
      </c>
      <c r="G279" s="47" t="e">
        <v>#N/A</v>
      </c>
      <c r="H279" s="47" t="s">
        <v>22</v>
      </c>
      <c r="I279" s="9" t="s">
        <v>582</v>
      </c>
      <c r="J279" s="40" t="s">
        <v>583</v>
      </c>
      <c r="K279" s="9" t="s">
        <v>589</v>
      </c>
      <c r="L279" s="9" t="s">
        <v>188</v>
      </c>
      <c r="M279" s="11"/>
      <c r="N279" s="11"/>
      <c r="O279" s="50">
        <v>7.1550000000000002</v>
      </c>
      <c r="R279" s="9">
        <f>IFERROR(VLOOKUP(E279,Sheet6!$A$2:$B$500,2,FALSE),0)</f>
        <v>0</v>
      </c>
      <c r="S279" s="41">
        <f>IFERROR(VLOOKUP(E279,Sheet6!$C$2:$D$35017,2,FALSE),0)</f>
        <v>0</v>
      </c>
      <c r="U279" s="9">
        <f>IFERROR(VLOOKUP(E279,Sheet2!$AA$1:$AB$975,2,FALSE),0)</f>
        <v>0</v>
      </c>
      <c r="V279" s="41">
        <f>IFERROR(VLOOKUP(E279,Sheet2!$AC$1:$AD$975,2,FALSE),0)</f>
        <v>0</v>
      </c>
      <c r="W279" s="42">
        <f>IFERROR(VLOOKUP(E279,Sheet2!$AE$1:$AF$975,2,FALSE),0)</f>
        <v>0</v>
      </c>
      <c r="X279" s="43">
        <f>IFERROR(VLOOKUP(E279,Sheet2!$AG$1:$AH$975,2,FALSE),0)</f>
        <v>0</v>
      </c>
      <c r="Z279" s="60">
        <f>IFERROR(VLOOKUP(F279,Sheet2!$AA$1:$AB$975,2,FALSE),0)</f>
        <v>0</v>
      </c>
      <c r="AA279" s="64">
        <f>IFERROR(VLOOKUP(F279,Sheet2!$AC$1:$AD$975,2,FALSE),0)</f>
        <v>0</v>
      </c>
      <c r="AB279" s="65">
        <f>IFERROR(VLOOKUP(F279,Sheet2!$AE$2:$AF$6539,2,FALSE),0)</f>
        <v>0</v>
      </c>
      <c r="AC279" s="43">
        <f>IFERROR(VLOOKUP(F279,Sheet2!$AG$2:$AH$6539,2,FALSE),0)</f>
        <v>0</v>
      </c>
      <c r="AE279" s="112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f t="shared" si="10"/>
        <v>0</v>
      </c>
      <c r="AK279" s="45">
        <f t="shared" si="11"/>
        <v>0</v>
      </c>
      <c r="AL279" s="68">
        <v>0</v>
      </c>
      <c r="AM279" s="68">
        <v>0</v>
      </c>
    </row>
    <row r="280" spans="1:39" x14ac:dyDescent="0.2">
      <c r="A280" s="57" t="s">
        <v>2082</v>
      </c>
      <c r="B280" s="47">
        <v>46173</v>
      </c>
      <c r="C280" s="48"/>
      <c r="D280" s="48" t="s">
        <v>1487</v>
      </c>
      <c r="E280" s="49" t="s">
        <v>590</v>
      </c>
      <c r="F280" s="49" t="s">
        <v>591</v>
      </c>
      <c r="G280" s="47" t="e">
        <v>#N/A</v>
      </c>
      <c r="H280" s="47" t="s">
        <v>22</v>
      </c>
      <c r="I280" s="9" t="s">
        <v>592</v>
      </c>
      <c r="J280" s="40" t="s">
        <v>593</v>
      </c>
      <c r="K280" s="9" t="s">
        <v>24</v>
      </c>
      <c r="L280" s="9" t="s">
        <v>29</v>
      </c>
      <c r="M280" s="11"/>
      <c r="N280" s="11"/>
      <c r="O280" s="50">
        <v>6.48</v>
      </c>
      <c r="R280" s="9">
        <f>IFERROR(VLOOKUP(E280,Sheet6!$A$2:$B$500,2,FALSE),0)</f>
        <v>0</v>
      </c>
      <c r="S280" s="41">
        <f>IFERROR(VLOOKUP(E280,Sheet6!$C$2:$D$35017,2,FALSE),0)</f>
        <v>0</v>
      </c>
      <c r="U280" s="9">
        <f>IFERROR(VLOOKUP(E280,Sheet2!$AA$1:$AB$975,2,FALSE),0)</f>
        <v>0</v>
      </c>
      <c r="V280" s="41">
        <f>IFERROR(VLOOKUP(E280,Sheet2!$AC$1:$AD$975,2,FALSE),0)</f>
        <v>0</v>
      </c>
      <c r="W280" s="42">
        <f>IFERROR(VLOOKUP(E280,Sheet2!$AE$1:$AF$975,2,FALSE),0)</f>
        <v>0</v>
      </c>
      <c r="X280" s="43">
        <f>IFERROR(VLOOKUP(E280,Sheet2!$AG$1:$AH$975,2,FALSE),0)</f>
        <v>0</v>
      </c>
      <c r="Z280" s="60">
        <f>IFERROR(VLOOKUP(F280,Sheet2!$AA$1:$AB$975,2,FALSE),0)</f>
        <v>0</v>
      </c>
      <c r="AA280" s="64">
        <f>IFERROR(VLOOKUP(F280,Sheet2!$AC$1:$AD$975,2,FALSE),0)</f>
        <v>0</v>
      </c>
      <c r="AB280" s="65">
        <f>IFERROR(VLOOKUP(F280,Sheet2!$AE$2:$AF$6539,2,FALSE),0)</f>
        <v>0</v>
      </c>
      <c r="AC280" s="43">
        <f>IFERROR(VLOOKUP(F280,Sheet2!$AG$2:$AH$6539,2,FALSE),0)</f>
        <v>0</v>
      </c>
      <c r="AE280" s="112">
        <v>4</v>
      </c>
      <c r="AF280" s="9">
        <v>0</v>
      </c>
      <c r="AG280" s="9">
        <v>0</v>
      </c>
      <c r="AH280" s="9">
        <v>0</v>
      </c>
      <c r="AI280" s="9">
        <v>0</v>
      </c>
      <c r="AJ280" s="9">
        <f t="shared" si="10"/>
        <v>4</v>
      </c>
      <c r="AK280" s="45">
        <f t="shared" si="11"/>
        <v>25.92</v>
      </c>
      <c r="AL280" s="68">
        <v>0</v>
      </c>
      <c r="AM280" s="68">
        <v>0</v>
      </c>
    </row>
    <row r="281" spans="1:39" x14ac:dyDescent="0.2">
      <c r="A281" s="57" t="s">
        <v>2082</v>
      </c>
      <c r="B281" s="47">
        <v>46173</v>
      </c>
      <c r="C281" s="48"/>
      <c r="D281" s="48" t="s">
        <v>1488</v>
      </c>
      <c r="E281" s="49" t="s">
        <v>594</v>
      </c>
      <c r="F281" s="49" t="s">
        <v>595</v>
      </c>
      <c r="G281" s="47" t="e">
        <v>#N/A</v>
      </c>
      <c r="H281" s="47" t="s">
        <v>22</v>
      </c>
      <c r="I281" s="9" t="s">
        <v>592</v>
      </c>
      <c r="J281" s="40" t="s">
        <v>593</v>
      </c>
      <c r="K281" s="9" t="s">
        <v>24</v>
      </c>
      <c r="L281" s="9" t="s">
        <v>32</v>
      </c>
      <c r="M281" s="11"/>
      <c r="N281" s="11"/>
      <c r="O281" s="50">
        <v>6.48</v>
      </c>
      <c r="R281" s="9">
        <f>IFERROR(VLOOKUP(E281,Sheet6!$A$2:$B$500,2,FALSE),0)</f>
        <v>0</v>
      </c>
      <c r="S281" s="41">
        <f>IFERROR(VLOOKUP(E281,Sheet6!$C$2:$D$35017,2,FALSE),0)</f>
        <v>0</v>
      </c>
      <c r="U281" s="9">
        <f>IFERROR(VLOOKUP(E281,Sheet2!$AA$1:$AB$975,2,FALSE),0)</f>
        <v>0</v>
      </c>
      <c r="V281" s="41">
        <f>IFERROR(VLOOKUP(E281,Sheet2!$AC$1:$AD$975,2,FALSE),0)</f>
        <v>0</v>
      </c>
      <c r="W281" s="42">
        <f>IFERROR(VLOOKUP(E281,Sheet2!$AE$1:$AF$975,2,FALSE),0)</f>
        <v>0</v>
      </c>
      <c r="X281" s="43">
        <f>IFERROR(VLOOKUP(E281,Sheet2!$AG$1:$AH$975,2,FALSE),0)</f>
        <v>0</v>
      </c>
      <c r="Z281" s="60">
        <f>IFERROR(VLOOKUP(F281,Sheet2!$AA$1:$AB$975,2,FALSE),0)</f>
        <v>0</v>
      </c>
      <c r="AA281" s="64">
        <f>IFERROR(VLOOKUP(F281,Sheet2!$AC$1:$AD$975,2,FALSE),0)</f>
        <v>0</v>
      </c>
      <c r="AB281" s="65">
        <f>IFERROR(VLOOKUP(F281,Sheet2!$AE$2:$AF$6539,2,FALSE),0)</f>
        <v>0</v>
      </c>
      <c r="AC281" s="43">
        <f>IFERROR(VLOOKUP(F281,Sheet2!$AG$2:$AH$6539,2,FALSE),0)</f>
        <v>0</v>
      </c>
      <c r="AE281" s="112">
        <v>0</v>
      </c>
      <c r="AF281" s="9">
        <v>0</v>
      </c>
      <c r="AG281" s="9">
        <v>0</v>
      </c>
      <c r="AH281" s="9">
        <v>0</v>
      </c>
      <c r="AI281" s="9">
        <v>0</v>
      </c>
      <c r="AJ281" s="9">
        <f t="shared" si="10"/>
        <v>0</v>
      </c>
      <c r="AK281" s="45">
        <f t="shared" si="11"/>
        <v>0</v>
      </c>
      <c r="AL281" s="68">
        <v>0</v>
      </c>
      <c r="AM281" s="68">
        <v>0</v>
      </c>
    </row>
    <row r="282" spans="1:39" x14ac:dyDescent="0.2">
      <c r="A282" s="57" t="s">
        <v>2082</v>
      </c>
      <c r="B282" s="47">
        <v>46173</v>
      </c>
      <c r="C282" s="48"/>
      <c r="D282" s="48" t="s">
        <v>1489</v>
      </c>
      <c r="E282" s="49" t="s">
        <v>596</v>
      </c>
      <c r="F282" s="49" t="s">
        <v>597</v>
      </c>
      <c r="G282" s="47" t="e">
        <v>#N/A</v>
      </c>
      <c r="H282" s="47" t="s">
        <v>22</v>
      </c>
      <c r="I282" s="9" t="s">
        <v>592</v>
      </c>
      <c r="J282" s="40" t="s">
        <v>593</v>
      </c>
      <c r="K282" s="9" t="s">
        <v>24</v>
      </c>
      <c r="L282" s="9" t="s">
        <v>35</v>
      </c>
      <c r="M282" s="11"/>
      <c r="N282" s="11"/>
      <c r="O282" s="50">
        <v>6.48</v>
      </c>
      <c r="R282" s="9">
        <f>IFERROR(VLOOKUP(E282,Sheet6!$A$2:$B$500,2,FALSE),0)</f>
        <v>0</v>
      </c>
      <c r="S282" s="41">
        <f>IFERROR(VLOOKUP(E282,Sheet6!$C$2:$D$35017,2,FALSE),0)</f>
        <v>0</v>
      </c>
      <c r="U282" s="9">
        <f>IFERROR(VLOOKUP(E282,Sheet2!$AA$1:$AB$975,2,FALSE),0)</f>
        <v>0</v>
      </c>
      <c r="V282" s="41">
        <f>IFERROR(VLOOKUP(E282,Sheet2!$AC$1:$AD$975,2,FALSE),0)</f>
        <v>0</v>
      </c>
      <c r="W282" s="42">
        <f>IFERROR(VLOOKUP(E282,Sheet2!$AE$1:$AF$975,2,FALSE),0)</f>
        <v>0</v>
      </c>
      <c r="X282" s="43">
        <f>IFERROR(VLOOKUP(E282,Sheet2!$AG$1:$AH$975,2,FALSE),0)</f>
        <v>0</v>
      </c>
      <c r="Z282" s="60">
        <f>IFERROR(VLOOKUP(F282,Sheet2!$AA$1:$AB$975,2,FALSE),0)</f>
        <v>0</v>
      </c>
      <c r="AA282" s="64">
        <f>IFERROR(VLOOKUP(F282,Sheet2!$AC$1:$AD$975,2,FALSE),0)</f>
        <v>0</v>
      </c>
      <c r="AB282" s="65">
        <f>IFERROR(VLOOKUP(F282,Sheet2!$AE$2:$AF$6539,2,FALSE),0)</f>
        <v>0</v>
      </c>
      <c r="AC282" s="43">
        <f>IFERROR(VLOOKUP(F282,Sheet2!$AG$2:$AH$6539,2,FALSE),0)</f>
        <v>0</v>
      </c>
      <c r="AE282" s="112">
        <v>2</v>
      </c>
      <c r="AF282" s="9">
        <v>0</v>
      </c>
      <c r="AG282" s="9">
        <v>0</v>
      </c>
      <c r="AH282" s="9">
        <v>0</v>
      </c>
      <c r="AI282" s="9">
        <v>0</v>
      </c>
      <c r="AJ282" s="9">
        <f t="shared" si="10"/>
        <v>2</v>
      </c>
      <c r="AK282" s="45">
        <f t="shared" si="11"/>
        <v>12.96</v>
      </c>
      <c r="AL282" s="68">
        <v>0</v>
      </c>
      <c r="AM282" s="68">
        <v>0</v>
      </c>
    </row>
    <row r="283" spans="1:39" x14ac:dyDescent="0.2">
      <c r="A283" s="57" t="s">
        <v>2082</v>
      </c>
      <c r="B283" s="47">
        <v>46173</v>
      </c>
      <c r="C283" s="48"/>
      <c r="D283" s="48" t="s">
        <v>1490</v>
      </c>
      <c r="E283" s="49" t="s">
        <v>598</v>
      </c>
      <c r="F283" s="49" t="s">
        <v>599</v>
      </c>
      <c r="G283" s="47" t="e">
        <v>#N/A</v>
      </c>
      <c r="H283" s="47" t="s">
        <v>22</v>
      </c>
      <c r="I283" s="9" t="s">
        <v>592</v>
      </c>
      <c r="J283" s="40" t="s">
        <v>593</v>
      </c>
      <c r="K283" s="9" t="s">
        <v>191</v>
      </c>
      <c r="L283" s="9" t="s">
        <v>29</v>
      </c>
      <c r="M283" s="11"/>
      <c r="N283" s="11"/>
      <c r="O283" s="50">
        <v>6.48</v>
      </c>
      <c r="R283" s="9">
        <f>IFERROR(VLOOKUP(E283,Sheet6!$A$2:$B$500,2,FALSE),0)</f>
        <v>0</v>
      </c>
      <c r="S283" s="41">
        <f>IFERROR(VLOOKUP(E283,Sheet6!$C$2:$D$35017,2,FALSE),0)</f>
        <v>0</v>
      </c>
      <c r="U283" s="9">
        <f>IFERROR(VLOOKUP(E283,Sheet2!$AA$1:$AB$975,2,FALSE),0)</f>
        <v>0</v>
      </c>
      <c r="V283" s="41">
        <f>IFERROR(VLOOKUP(E283,Sheet2!$AC$1:$AD$975,2,FALSE),0)</f>
        <v>0</v>
      </c>
      <c r="W283" s="42">
        <f>IFERROR(VLOOKUP(E283,Sheet2!$AE$1:$AF$975,2,FALSE),0)</f>
        <v>0</v>
      </c>
      <c r="X283" s="43">
        <f>IFERROR(VLOOKUP(E283,Sheet2!$AG$1:$AH$975,2,FALSE),0)</f>
        <v>0</v>
      </c>
      <c r="Z283" s="60">
        <f>IFERROR(VLOOKUP(F283,Sheet2!$AA$1:$AB$975,2,FALSE),0)</f>
        <v>0</v>
      </c>
      <c r="AA283" s="64">
        <f>IFERROR(VLOOKUP(F283,Sheet2!$AC$1:$AD$975,2,FALSE),0)</f>
        <v>0</v>
      </c>
      <c r="AB283" s="65">
        <f>IFERROR(VLOOKUP(F283,Sheet2!$AE$2:$AF$6539,2,FALSE),0)</f>
        <v>0</v>
      </c>
      <c r="AC283" s="43">
        <f>IFERROR(VLOOKUP(F283,Sheet2!$AG$2:$AH$6539,2,FALSE),0)</f>
        <v>0</v>
      </c>
      <c r="AE283" s="112">
        <v>2</v>
      </c>
      <c r="AF283" s="9">
        <v>0</v>
      </c>
      <c r="AG283" s="9">
        <v>0</v>
      </c>
      <c r="AH283" s="9">
        <v>0</v>
      </c>
      <c r="AI283" s="9">
        <v>0</v>
      </c>
      <c r="AJ283" s="9">
        <f t="shared" si="10"/>
        <v>2</v>
      </c>
      <c r="AK283" s="45">
        <f t="shared" si="11"/>
        <v>12.96</v>
      </c>
      <c r="AL283" s="68">
        <v>0</v>
      </c>
      <c r="AM283" s="68">
        <v>0</v>
      </c>
    </row>
    <row r="284" spans="1:39" x14ac:dyDescent="0.2">
      <c r="A284" s="57" t="s">
        <v>2082</v>
      </c>
      <c r="B284" s="47">
        <v>46173</v>
      </c>
      <c r="C284" s="48"/>
      <c r="D284" s="48" t="s">
        <v>1491</v>
      </c>
      <c r="E284" s="49" t="s">
        <v>600</v>
      </c>
      <c r="F284" s="49" t="s">
        <v>601</v>
      </c>
      <c r="G284" s="47" t="e">
        <v>#N/A</v>
      </c>
      <c r="H284" s="47" t="s">
        <v>22</v>
      </c>
      <c r="I284" s="9" t="s">
        <v>592</v>
      </c>
      <c r="J284" s="40" t="s">
        <v>593</v>
      </c>
      <c r="K284" s="9" t="s">
        <v>602</v>
      </c>
      <c r="L284" s="9" t="s">
        <v>29</v>
      </c>
      <c r="M284" s="11"/>
      <c r="N284" s="11"/>
      <c r="O284" s="50">
        <v>6.48</v>
      </c>
      <c r="R284" s="9">
        <f>IFERROR(VLOOKUP(E284,Sheet6!$A$2:$B$500,2,FALSE),0)</f>
        <v>0</v>
      </c>
      <c r="S284" s="41">
        <f>IFERROR(VLOOKUP(E284,Sheet6!$C$2:$D$35017,2,FALSE),0)</f>
        <v>0</v>
      </c>
      <c r="U284" s="9">
        <f>IFERROR(VLOOKUP(E284,Sheet2!$AA$1:$AB$975,2,FALSE),0)</f>
        <v>0</v>
      </c>
      <c r="V284" s="41">
        <f>IFERROR(VLOOKUP(E284,Sheet2!$AC$1:$AD$975,2,FALSE),0)</f>
        <v>0</v>
      </c>
      <c r="W284" s="42">
        <f>IFERROR(VLOOKUP(E284,Sheet2!$AE$1:$AF$975,2,FALSE),0)</f>
        <v>0</v>
      </c>
      <c r="X284" s="43">
        <f>IFERROR(VLOOKUP(E284,Sheet2!$AG$1:$AH$975,2,FALSE),0)</f>
        <v>0</v>
      </c>
      <c r="Z284" s="60">
        <f>IFERROR(VLOOKUP(F284,Sheet2!$AA$1:$AB$975,2,FALSE),0)</f>
        <v>0</v>
      </c>
      <c r="AA284" s="64">
        <f>IFERROR(VLOOKUP(F284,Sheet2!$AC$1:$AD$975,2,FALSE),0)</f>
        <v>0</v>
      </c>
      <c r="AB284" s="65">
        <f>IFERROR(VLOOKUP(F284,Sheet2!$AE$2:$AF$6539,2,FALSE),0)</f>
        <v>0</v>
      </c>
      <c r="AC284" s="43">
        <f>IFERROR(VLOOKUP(F284,Sheet2!$AG$2:$AH$6539,2,FALSE),0)</f>
        <v>0</v>
      </c>
      <c r="AE284" s="112">
        <v>5</v>
      </c>
      <c r="AF284" s="9">
        <v>0</v>
      </c>
      <c r="AG284" s="9">
        <v>0</v>
      </c>
      <c r="AH284" s="9">
        <v>0</v>
      </c>
      <c r="AI284" s="9">
        <v>0</v>
      </c>
      <c r="AJ284" s="9">
        <f t="shared" si="10"/>
        <v>5</v>
      </c>
      <c r="AK284" s="45">
        <f t="shared" si="11"/>
        <v>32.400000000000006</v>
      </c>
      <c r="AL284" s="68">
        <v>0</v>
      </c>
      <c r="AM284" s="68">
        <v>0</v>
      </c>
    </row>
    <row r="285" spans="1:39" x14ac:dyDescent="0.2">
      <c r="A285" s="57" t="s">
        <v>2082</v>
      </c>
      <c r="B285" s="47">
        <v>46173</v>
      </c>
      <c r="C285" s="48"/>
      <c r="D285" s="48" t="s">
        <v>1492</v>
      </c>
      <c r="E285" s="49" t="s">
        <v>603</v>
      </c>
      <c r="F285" s="49" t="s">
        <v>604</v>
      </c>
      <c r="G285" s="47" t="e">
        <v>#N/A</v>
      </c>
      <c r="H285" s="47" t="s">
        <v>22</v>
      </c>
      <c r="I285" s="9" t="s">
        <v>592</v>
      </c>
      <c r="J285" s="40" t="s">
        <v>593</v>
      </c>
      <c r="K285" s="9" t="s">
        <v>602</v>
      </c>
      <c r="L285" s="9" t="s">
        <v>32</v>
      </c>
      <c r="M285" s="11"/>
      <c r="N285" s="11"/>
      <c r="O285" s="50">
        <v>6.48</v>
      </c>
      <c r="R285" s="9">
        <f>IFERROR(VLOOKUP(E285,Sheet6!$A$2:$B$500,2,FALSE),0)</f>
        <v>0</v>
      </c>
      <c r="S285" s="41">
        <f>IFERROR(VLOOKUP(E285,Sheet6!$C$2:$D$35017,2,FALSE),0)</f>
        <v>0</v>
      </c>
      <c r="U285" s="9">
        <f>IFERROR(VLOOKUP(E285,Sheet2!$AA$1:$AB$975,2,FALSE),0)</f>
        <v>0</v>
      </c>
      <c r="V285" s="41">
        <f>IFERROR(VLOOKUP(E285,Sheet2!$AC$1:$AD$975,2,FALSE),0)</f>
        <v>0</v>
      </c>
      <c r="W285" s="42">
        <f>IFERROR(VLOOKUP(E285,Sheet2!$AE$1:$AF$975,2,FALSE),0)</f>
        <v>0</v>
      </c>
      <c r="X285" s="43">
        <f>IFERROR(VLOOKUP(E285,Sheet2!$AG$1:$AH$975,2,FALSE),0)</f>
        <v>0</v>
      </c>
      <c r="Z285" s="60">
        <f>IFERROR(VLOOKUP(F285,Sheet2!$AA$1:$AB$975,2,FALSE),0)</f>
        <v>0</v>
      </c>
      <c r="AA285" s="64">
        <f>IFERROR(VLOOKUP(F285,Sheet2!$AC$1:$AD$975,2,FALSE),0)</f>
        <v>0</v>
      </c>
      <c r="AB285" s="65">
        <f>IFERROR(VLOOKUP(F285,Sheet2!$AE$2:$AF$6539,2,FALSE),0)</f>
        <v>0</v>
      </c>
      <c r="AC285" s="43">
        <f>IFERROR(VLOOKUP(F285,Sheet2!$AG$2:$AH$6539,2,FALSE),0)</f>
        <v>0</v>
      </c>
      <c r="AE285" s="112">
        <v>3</v>
      </c>
      <c r="AF285" s="9">
        <v>0</v>
      </c>
      <c r="AG285" s="9">
        <v>0</v>
      </c>
      <c r="AH285" s="9">
        <v>0</v>
      </c>
      <c r="AI285" s="9">
        <v>0</v>
      </c>
      <c r="AJ285" s="9">
        <f t="shared" si="10"/>
        <v>3</v>
      </c>
      <c r="AK285" s="45">
        <f t="shared" si="11"/>
        <v>19.440000000000001</v>
      </c>
      <c r="AL285" s="68">
        <v>0</v>
      </c>
      <c r="AM285" s="68">
        <v>0</v>
      </c>
    </row>
    <row r="286" spans="1:39" x14ac:dyDescent="0.2">
      <c r="A286" s="57" t="s">
        <v>2082</v>
      </c>
      <c r="B286" s="47">
        <v>46173</v>
      </c>
      <c r="C286" s="48"/>
      <c r="D286" s="48" t="s">
        <v>1493</v>
      </c>
      <c r="E286" s="49" t="s">
        <v>606</v>
      </c>
      <c r="F286" s="49" t="s">
        <v>607</v>
      </c>
      <c r="G286" s="47" t="e">
        <v>#N/A</v>
      </c>
      <c r="H286" s="47" t="s">
        <v>22</v>
      </c>
      <c r="I286" s="9" t="s">
        <v>605</v>
      </c>
      <c r="J286" s="40" t="s">
        <v>1847</v>
      </c>
      <c r="K286" s="9" t="s">
        <v>608</v>
      </c>
      <c r="L286" s="9" t="s">
        <v>29</v>
      </c>
      <c r="M286" s="11"/>
      <c r="N286" s="11"/>
      <c r="O286" s="50">
        <v>6.48</v>
      </c>
      <c r="R286" s="9">
        <f>IFERROR(VLOOKUP(E286,Sheet6!$A$2:$B$500,2,FALSE),0)</f>
        <v>0</v>
      </c>
      <c r="S286" s="41">
        <f>IFERROR(VLOOKUP(E286,Sheet6!$C$2:$D$35017,2,FALSE),0)</f>
        <v>0</v>
      </c>
      <c r="U286" s="9">
        <f>IFERROR(VLOOKUP(E286,Sheet2!$AA$1:$AB$975,2,FALSE),0)</f>
        <v>0</v>
      </c>
      <c r="V286" s="41">
        <f>IFERROR(VLOOKUP(E286,Sheet2!$AC$1:$AD$975,2,FALSE),0)</f>
        <v>0</v>
      </c>
      <c r="W286" s="42">
        <f>IFERROR(VLOOKUP(E286,Sheet2!$AE$1:$AF$975,2,FALSE),0)</f>
        <v>0</v>
      </c>
      <c r="X286" s="43">
        <f>IFERROR(VLOOKUP(E286,Sheet2!$AG$1:$AH$975,2,FALSE),0)</f>
        <v>0</v>
      </c>
      <c r="Z286" s="60">
        <f>IFERROR(VLOOKUP(F286,Sheet2!$AA$1:$AB$975,2,FALSE),0)</f>
        <v>0</v>
      </c>
      <c r="AA286" s="64">
        <f>IFERROR(VLOOKUP(F286,Sheet2!$AC$1:$AD$975,2,FALSE),0)</f>
        <v>0</v>
      </c>
      <c r="AB286" s="65">
        <f>IFERROR(VLOOKUP(F286,Sheet2!$AE$2:$AF$6539,2,FALSE),0)</f>
        <v>0</v>
      </c>
      <c r="AC286" s="43">
        <f>IFERROR(VLOOKUP(F286,Sheet2!$AG$2:$AH$6539,2,FALSE),0)</f>
        <v>0</v>
      </c>
      <c r="AE286" s="112">
        <v>12</v>
      </c>
      <c r="AF286" s="9">
        <v>0</v>
      </c>
      <c r="AG286" s="9">
        <v>0</v>
      </c>
      <c r="AH286" s="9">
        <v>0</v>
      </c>
      <c r="AI286" s="9">
        <v>0</v>
      </c>
      <c r="AJ286" s="9">
        <f t="shared" si="10"/>
        <v>12</v>
      </c>
      <c r="AK286" s="45">
        <f t="shared" si="11"/>
        <v>77.760000000000005</v>
      </c>
      <c r="AL286" s="68">
        <v>0</v>
      </c>
      <c r="AM286" s="68">
        <v>0</v>
      </c>
    </row>
    <row r="287" spans="1:39" x14ac:dyDescent="0.2">
      <c r="A287" s="57" t="s">
        <v>2082</v>
      </c>
      <c r="B287" s="47">
        <v>46173</v>
      </c>
      <c r="C287" s="48"/>
      <c r="D287" s="48" t="s">
        <v>1494</v>
      </c>
      <c r="E287" s="49" t="s">
        <v>609</v>
      </c>
      <c r="F287" s="49" t="s">
        <v>610</v>
      </c>
      <c r="G287" s="47" t="e">
        <v>#N/A</v>
      </c>
      <c r="H287" s="47" t="s">
        <v>22</v>
      </c>
      <c r="I287" s="9" t="s">
        <v>605</v>
      </c>
      <c r="J287" s="40" t="s">
        <v>1847</v>
      </c>
      <c r="K287" s="9" t="s">
        <v>608</v>
      </c>
      <c r="L287" s="9" t="s">
        <v>32</v>
      </c>
      <c r="M287" s="11"/>
      <c r="N287" s="11"/>
      <c r="O287" s="50">
        <v>6.48</v>
      </c>
      <c r="R287" s="9">
        <f>IFERROR(VLOOKUP(E287,Sheet6!$A$2:$B$500,2,FALSE),0)</f>
        <v>0</v>
      </c>
      <c r="S287" s="41">
        <f>IFERROR(VLOOKUP(E287,Sheet6!$C$2:$D$35017,2,FALSE),0)</f>
        <v>0</v>
      </c>
      <c r="U287" s="9">
        <f>IFERROR(VLOOKUP(E287,Sheet2!$AA$1:$AB$975,2,FALSE),0)</f>
        <v>0</v>
      </c>
      <c r="V287" s="41">
        <f>IFERROR(VLOOKUP(E287,Sheet2!$AC$1:$AD$975,2,FALSE),0)</f>
        <v>0</v>
      </c>
      <c r="W287" s="42">
        <f>IFERROR(VLOOKUP(E287,Sheet2!$AE$1:$AF$975,2,FALSE),0)</f>
        <v>0</v>
      </c>
      <c r="X287" s="43">
        <f>IFERROR(VLOOKUP(E287,Sheet2!$AG$1:$AH$975,2,FALSE),0)</f>
        <v>0</v>
      </c>
      <c r="Z287" s="60">
        <f>IFERROR(VLOOKUP(F287,Sheet2!$AA$1:$AB$975,2,FALSE),0)</f>
        <v>0</v>
      </c>
      <c r="AA287" s="64">
        <f>IFERROR(VLOOKUP(F287,Sheet2!$AC$1:$AD$975,2,FALSE),0)</f>
        <v>0</v>
      </c>
      <c r="AB287" s="65">
        <f>IFERROR(VLOOKUP(F287,Sheet2!$AE$2:$AF$6539,2,FALSE),0)</f>
        <v>0</v>
      </c>
      <c r="AC287" s="43">
        <f>IFERROR(VLOOKUP(F287,Sheet2!$AG$2:$AH$6539,2,FALSE),0)</f>
        <v>0</v>
      </c>
      <c r="AE287" s="112">
        <v>0</v>
      </c>
      <c r="AF287" s="9">
        <v>0</v>
      </c>
      <c r="AG287" s="9">
        <v>0</v>
      </c>
      <c r="AH287" s="9">
        <v>0</v>
      </c>
      <c r="AI287" s="9">
        <v>0</v>
      </c>
      <c r="AJ287" s="9">
        <f t="shared" si="10"/>
        <v>0</v>
      </c>
      <c r="AK287" s="45">
        <f t="shared" si="11"/>
        <v>0</v>
      </c>
      <c r="AL287" s="68">
        <v>0</v>
      </c>
      <c r="AM287" s="68">
        <v>0</v>
      </c>
    </row>
    <row r="288" spans="1:39" x14ac:dyDescent="0.2">
      <c r="A288" s="57" t="s">
        <v>2082</v>
      </c>
      <c r="B288" s="47">
        <v>46173</v>
      </c>
      <c r="C288" s="48"/>
      <c r="D288" s="48" t="s">
        <v>1495</v>
      </c>
      <c r="E288" s="49" t="s">
        <v>611</v>
      </c>
      <c r="F288" s="49" t="s">
        <v>612</v>
      </c>
      <c r="G288" s="47" t="e">
        <v>#N/A</v>
      </c>
      <c r="H288" s="47" t="s">
        <v>22</v>
      </c>
      <c r="I288" s="9" t="s">
        <v>605</v>
      </c>
      <c r="J288" s="40" t="s">
        <v>1847</v>
      </c>
      <c r="K288" s="9" t="s">
        <v>613</v>
      </c>
      <c r="L288" s="9" t="s">
        <v>29</v>
      </c>
      <c r="M288" s="11"/>
      <c r="N288" s="11"/>
      <c r="O288" s="50">
        <v>6.48</v>
      </c>
      <c r="R288" s="9">
        <f>IFERROR(VLOOKUP(E288,Sheet6!$A$2:$B$500,2,FALSE),0)</f>
        <v>0</v>
      </c>
      <c r="S288" s="41">
        <f>IFERROR(VLOOKUP(E288,Sheet6!$C$2:$D$35017,2,FALSE),0)</f>
        <v>0</v>
      </c>
      <c r="U288" s="9">
        <f>IFERROR(VLOOKUP(E288,Sheet2!$AA$1:$AB$975,2,FALSE),0)</f>
        <v>0</v>
      </c>
      <c r="V288" s="41">
        <f>IFERROR(VLOOKUP(E288,Sheet2!$AC$1:$AD$975,2,FALSE),0)</f>
        <v>0</v>
      </c>
      <c r="W288" s="42">
        <f>IFERROR(VLOOKUP(E288,Sheet2!$AE$1:$AF$975,2,FALSE),0)</f>
        <v>0</v>
      </c>
      <c r="X288" s="43">
        <f>IFERROR(VLOOKUP(E288,Sheet2!$AG$1:$AH$975,2,FALSE),0)</f>
        <v>0</v>
      </c>
      <c r="Z288" s="60">
        <f>IFERROR(VLOOKUP(F288,Sheet2!$AA$1:$AB$975,2,FALSE),0)</f>
        <v>0</v>
      </c>
      <c r="AA288" s="64">
        <f>IFERROR(VLOOKUP(F288,Sheet2!$AC$1:$AD$975,2,FALSE),0)</f>
        <v>0</v>
      </c>
      <c r="AB288" s="65">
        <f>IFERROR(VLOOKUP(F288,Sheet2!$AE$2:$AF$6539,2,FALSE),0)</f>
        <v>0</v>
      </c>
      <c r="AC288" s="43">
        <f>IFERROR(VLOOKUP(F288,Sheet2!$AG$2:$AH$6539,2,FALSE),0)</f>
        <v>0</v>
      </c>
      <c r="AE288" s="112">
        <v>4</v>
      </c>
      <c r="AF288" s="9">
        <v>0</v>
      </c>
      <c r="AG288" s="9">
        <v>0</v>
      </c>
      <c r="AH288" s="9">
        <v>0</v>
      </c>
      <c r="AI288" s="9">
        <v>0</v>
      </c>
      <c r="AJ288" s="9">
        <f t="shared" si="10"/>
        <v>4</v>
      </c>
      <c r="AK288" s="45">
        <f t="shared" si="11"/>
        <v>25.92</v>
      </c>
      <c r="AL288" s="68">
        <v>0</v>
      </c>
      <c r="AM288" s="68">
        <v>0</v>
      </c>
    </row>
    <row r="289" spans="1:39" x14ac:dyDescent="0.2">
      <c r="A289" s="57" t="s">
        <v>2082</v>
      </c>
      <c r="B289" s="47">
        <v>46173</v>
      </c>
      <c r="C289" s="48"/>
      <c r="D289" s="48" t="s">
        <v>1496</v>
      </c>
      <c r="E289" s="49" t="s">
        <v>614</v>
      </c>
      <c r="F289" s="49" t="s">
        <v>615</v>
      </c>
      <c r="G289" s="47" t="e">
        <v>#N/A</v>
      </c>
      <c r="H289" s="47" t="s">
        <v>22</v>
      </c>
      <c r="I289" s="9" t="s">
        <v>605</v>
      </c>
      <c r="J289" s="40" t="s">
        <v>1847</v>
      </c>
      <c r="K289" s="9" t="s">
        <v>613</v>
      </c>
      <c r="L289" s="9" t="s">
        <v>32</v>
      </c>
      <c r="M289" s="11"/>
      <c r="N289" s="11"/>
      <c r="O289" s="50">
        <v>6.48</v>
      </c>
      <c r="R289" s="9">
        <f>IFERROR(VLOOKUP(E289,Sheet6!$A$2:$B$500,2,FALSE),0)</f>
        <v>0</v>
      </c>
      <c r="S289" s="41">
        <f>IFERROR(VLOOKUP(E289,Sheet6!$C$2:$D$35017,2,FALSE),0)</f>
        <v>0</v>
      </c>
      <c r="U289" s="9">
        <f>IFERROR(VLOOKUP(E289,Sheet2!$AA$1:$AB$975,2,FALSE),0)</f>
        <v>0</v>
      </c>
      <c r="V289" s="41">
        <f>IFERROR(VLOOKUP(E289,Sheet2!$AC$1:$AD$975,2,FALSE),0)</f>
        <v>0</v>
      </c>
      <c r="W289" s="42">
        <f>IFERROR(VLOOKUP(E289,Sheet2!$AE$1:$AF$975,2,FALSE),0)</f>
        <v>0</v>
      </c>
      <c r="X289" s="43">
        <f>IFERROR(VLOOKUP(E289,Sheet2!$AG$1:$AH$975,2,FALSE),0)</f>
        <v>0</v>
      </c>
      <c r="Z289" s="60">
        <f>IFERROR(VLOOKUP(F289,Sheet2!$AA$1:$AB$975,2,FALSE),0)</f>
        <v>0</v>
      </c>
      <c r="AA289" s="64">
        <f>IFERROR(VLOOKUP(F289,Sheet2!$AC$1:$AD$975,2,FALSE),0)</f>
        <v>0</v>
      </c>
      <c r="AB289" s="65">
        <f>IFERROR(VLOOKUP(F289,Sheet2!$AE$2:$AF$6539,2,FALSE),0)</f>
        <v>0</v>
      </c>
      <c r="AC289" s="43">
        <f>IFERROR(VLOOKUP(F289,Sheet2!$AG$2:$AH$6539,2,FALSE),0)</f>
        <v>0</v>
      </c>
      <c r="AE289" s="112">
        <v>0</v>
      </c>
      <c r="AF289" s="9">
        <v>0</v>
      </c>
      <c r="AG289" s="9">
        <v>0</v>
      </c>
      <c r="AH289" s="9">
        <v>0</v>
      </c>
      <c r="AI289" s="9">
        <v>0</v>
      </c>
      <c r="AJ289" s="9">
        <f t="shared" si="10"/>
        <v>0</v>
      </c>
      <c r="AK289" s="45">
        <f t="shared" si="11"/>
        <v>0</v>
      </c>
      <c r="AL289" s="68">
        <v>0</v>
      </c>
      <c r="AM289" s="68">
        <v>0</v>
      </c>
    </row>
    <row r="290" spans="1:39" x14ac:dyDescent="0.2">
      <c r="A290" s="57" t="s">
        <v>2082</v>
      </c>
      <c r="B290" s="47">
        <v>46173</v>
      </c>
      <c r="C290" s="48"/>
      <c r="D290" s="48" t="s">
        <v>1497</v>
      </c>
      <c r="E290" s="49" t="s">
        <v>616</v>
      </c>
      <c r="F290" s="49" t="s">
        <v>617</v>
      </c>
      <c r="G290" s="47" t="e">
        <v>#N/A</v>
      </c>
      <c r="H290" s="47" t="s">
        <v>22</v>
      </c>
      <c r="I290" s="9" t="s">
        <v>605</v>
      </c>
      <c r="J290" s="40" t="s">
        <v>1847</v>
      </c>
      <c r="K290" s="9" t="s">
        <v>613</v>
      </c>
      <c r="L290" s="9" t="s">
        <v>35</v>
      </c>
      <c r="M290" s="11"/>
      <c r="N290" s="11"/>
      <c r="O290" s="50">
        <v>6.48</v>
      </c>
      <c r="R290" s="9">
        <f>IFERROR(VLOOKUP(E290,Sheet6!$A$2:$B$500,2,FALSE),0)</f>
        <v>2</v>
      </c>
      <c r="S290" s="41">
        <f>IFERROR(VLOOKUP(E290,Sheet6!$C$2:$D$35017,2,FALSE),0)</f>
        <v>25.5</v>
      </c>
      <c r="U290" s="9">
        <f>IFERROR(VLOOKUP(E290,Sheet2!$AA$1:$AB$975,2,FALSE),0)</f>
        <v>1</v>
      </c>
      <c r="V290" s="41">
        <f>IFERROR(VLOOKUP(E290,Sheet2!$AC$1:$AD$975,2,FALSE),0)</f>
        <v>15</v>
      </c>
      <c r="W290" s="42">
        <f>IFERROR(VLOOKUP(E290,Sheet2!$AE$1:$AF$975,2,FALSE),0)</f>
        <v>110</v>
      </c>
      <c r="X290" s="43">
        <f>IFERROR(VLOOKUP(E290,Sheet2!$AG$1:$AH$975,2,FALSE),0)</f>
        <v>8.7300000000000003E-2</v>
      </c>
      <c r="Z290" s="60">
        <f>IFERROR(VLOOKUP(F290,Sheet2!$AA$1:$AB$975,2,FALSE),0)</f>
        <v>0</v>
      </c>
      <c r="AA290" s="64">
        <f>IFERROR(VLOOKUP(F290,Sheet2!$AC$1:$AD$975,2,FALSE),0)</f>
        <v>0</v>
      </c>
      <c r="AB290" s="65">
        <f>IFERROR(VLOOKUP(F290,Sheet2!$AE$2:$AF$6539,2,FALSE),0)</f>
        <v>0</v>
      </c>
      <c r="AC290" s="43">
        <f>IFERROR(VLOOKUP(F290,Sheet2!$AG$2:$AH$6539,2,FALSE),0)</f>
        <v>0</v>
      </c>
      <c r="AE290" s="112">
        <v>2</v>
      </c>
      <c r="AF290" s="9">
        <v>0</v>
      </c>
      <c r="AG290" s="9">
        <v>0</v>
      </c>
      <c r="AH290" s="9">
        <v>0</v>
      </c>
      <c r="AI290" s="9">
        <v>0</v>
      </c>
      <c r="AJ290" s="9">
        <f t="shared" si="10"/>
        <v>2</v>
      </c>
      <c r="AK290" s="45">
        <f t="shared" si="11"/>
        <v>12.96</v>
      </c>
      <c r="AL290" s="68">
        <v>0</v>
      </c>
      <c r="AM290" s="68">
        <v>12</v>
      </c>
    </row>
    <row r="291" spans="1:39" x14ac:dyDescent="0.2">
      <c r="A291" s="57" t="s">
        <v>2082</v>
      </c>
      <c r="B291" s="47">
        <v>46173</v>
      </c>
      <c r="C291" s="48"/>
      <c r="D291" s="48" t="s">
        <v>1498</v>
      </c>
      <c r="E291" s="49" t="s">
        <v>619</v>
      </c>
      <c r="F291" s="49" t="s">
        <v>620</v>
      </c>
      <c r="G291" s="47" t="e">
        <v>#N/A</v>
      </c>
      <c r="H291" s="47" t="s">
        <v>22</v>
      </c>
      <c r="I291" s="9" t="s">
        <v>618</v>
      </c>
      <c r="J291" s="40" t="s">
        <v>1115</v>
      </c>
      <c r="K291" s="9" t="s">
        <v>621</v>
      </c>
      <c r="L291" s="9" t="s">
        <v>29</v>
      </c>
      <c r="M291" s="11"/>
      <c r="N291" s="11"/>
      <c r="O291" s="50">
        <v>6.9119999999999999</v>
      </c>
      <c r="R291" s="9">
        <f>IFERROR(VLOOKUP(E291,Sheet6!$A$2:$B$500,2,FALSE),0)</f>
        <v>0</v>
      </c>
      <c r="S291" s="41">
        <f>IFERROR(VLOOKUP(E291,Sheet6!$C$2:$D$35017,2,FALSE),0)</f>
        <v>0</v>
      </c>
      <c r="U291" s="9">
        <f>IFERROR(VLOOKUP(E291,Sheet2!$AA$1:$AB$975,2,FALSE),0)</f>
        <v>0</v>
      </c>
      <c r="V291" s="41">
        <f>IFERROR(VLOOKUP(E291,Sheet2!$AC$1:$AD$975,2,FALSE),0)</f>
        <v>0</v>
      </c>
      <c r="W291" s="42">
        <f>IFERROR(VLOOKUP(E291,Sheet2!$AE$1:$AF$975,2,FALSE),0)</f>
        <v>0</v>
      </c>
      <c r="X291" s="43">
        <f>IFERROR(VLOOKUP(E291,Sheet2!$AG$1:$AH$975,2,FALSE),0)</f>
        <v>0</v>
      </c>
      <c r="Z291" s="60">
        <f>IFERROR(VLOOKUP(F291,Sheet2!$AA$1:$AB$975,2,FALSE),0)</f>
        <v>0</v>
      </c>
      <c r="AA291" s="64">
        <f>IFERROR(VLOOKUP(F291,Sheet2!$AC$1:$AD$975,2,FALSE),0)</f>
        <v>0</v>
      </c>
      <c r="AB291" s="65">
        <f>IFERROR(VLOOKUP(F291,Sheet2!$AE$2:$AF$6539,2,FALSE),0)</f>
        <v>0</v>
      </c>
      <c r="AC291" s="43">
        <f>IFERROR(VLOOKUP(F291,Sheet2!$AG$2:$AH$6539,2,FALSE),0)</f>
        <v>0</v>
      </c>
      <c r="AE291" s="112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f t="shared" si="10"/>
        <v>0</v>
      </c>
      <c r="AK291" s="45">
        <f t="shared" si="11"/>
        <v>0</v>
      </c>
      <c r="AL291" s="68">
        <v>0</v>
      </c>
      <c r="AM291" s="68">
        <v>6</v>
      </c>
    </row>
    <row r="292" spans="1:39" x14ac:dyDescent="0.2">
      <c r="A292" s="57" t="s">
        <v>2082</v>
      </c>
      <c r="B292" s="47">
        <v>46173</v>
      </c>
      <c r="C292" s="48"/>
      <c r="D292" s="48" t="s">
        <v>1499</v>
      </c>
      <c r="E292" s="49" t="s">
        <v>622</v>
      </c>
      <c r="F292" s="49" t="s">
        <v>623</v>
      </c>
      <c r="G292" s="47" t="e">
        <v>#N/A</v>
      </c>
      <c r="H292" s="47" t="s">
        <v>22</v>
      </c>
      <c r="I292" s="9" t="s">
        <v>618</v>
      </c>
      <c r="J292" s="40" t="s">
        <v>1115</v>
      </c>
      <c r="K292" s="9" t="s">
        <v>608</v>
      </c>
      <c r="L292" s="9" t="s">
        <v>29</v>
      </c>
      <c r="M292" s="11"/>
      <c r="N292" s="11"/>
      <c r="O292" s="50">
        <v>6.9119999999999999</v>
      </c>
      <c r="R292" s="9">
        <f>IFERROR(VLOOKUP(E292,Sheet6!$A$2:$B$500,2,FALSE),0)</f>
        <v>0</v>
      </c>
      <c r="S292" s="41">
        <f>IFERROR(VLOOKUP(E292,Sheet6!$C$2:$D$35017,2,FALSE),0)</f>
        <v>0</v>
      </c>
      <c r="U292" s="9">
        <f>IFERROR(VLOOKUP(E292,Sheet2!$AA$1:$AB$975,2,FALSE),0)</f>
        <v>0</v>
      </c>
      <c r="V292" s="41">
        <f>IFERROR(VLOOKUP(E292,Sheet2!$AC$1:$AD$975,2,FALSE),0)</f>
        <v>0</v>
      </c>
      <c r="W292" s="42">
        <f>IFERROR(VLOOKUP(E292,Sheet2!$AE$1:$AF$975,2,FALSE),0)</f>
        <v>0</v>
      </c>
      <c r="X292" s="43">
        <f>IFERROR(VLOOKUP(E292,Sheet2!$AG$1:$AH$975,2,FALSE),0)</f>
        <v>0</v>
      </c>
      <c r="Z292" s="60">
        <f>IFERROR(VLOOKUP(F292,Sheet2!$AA$1:$AB$975,2,FALSE),0)</f>
        <v>0</v>
      </c>
      <c r="AA292" s="64">
        <f>IFERROR(VLOOKUP(F292,Sheet2!$AC$1:$AD$975,2,FALSE),0)</f>
        <v>0</v>
      </c>
      <c r="AB292" s="65">
        <f>IFERROR(VLOOKUP(F292,Sheet2!$AE$2:$AF$6539,2,FALSE),0)</f>
        <v>0</v>
      </c>
      <c r="AC292" s="43">
        <f>IFERROR(VLOOKUP(F292,Sheet2!$AG$2:$AH$6539,2,FALSE),0)</f>
        <v>0</v>
      </c>
      <c r="AE292" s="112">
        <v>7</v>
      </c>
      <c r="AF292" s="9">
        <v>0</v>
      </c>
      <c r="AG292" s="9">
        <v>0</v>
      </c>
      <c r="AH292" s="9">
        <v>0</v>
      </c>
      <c r="AI292" s="9">
        <v>0</v>
      </c>
      <c r="AJ292" s="9">
        <f t="shared" si="10"/>
        <v>7</v>
      </c>
      <c r="AK292" s="45">
        <f t="shared" si="11"/>
        <v>48.384</v>
      </c>
      <c r="AL292" s="68">
        <v>0</v>
      </c>
      <c r="AM292" s="68">
        <v>0</v>
      </c>
    </row>
    <row r="293" spans="1:39" x14ac:dyDescent="0.2">
      <c r="A293" s="57" t="s">
        <v>2082</v>
      </c>
      <c r="B293" s="47">
        <v>46173</v>
      </c>
      <c r="C293" s="48"/>
      <c r="D293" s="48" t="s">
        <v>1500</v>
      </c>
      <c r="E293" s="49" t="s">
        <v>624</v>
      </c>
      <c r="F293" s="49" t="s">
        <v>625</v>
      </c>
      <c r="G293" s="47" t="e">
        <v>#N/A</v>
      </c>
      <c r="H293" s="47" t="s">
        <v>22</v>
      </c>
      <c r="I293" s="9" t="s">
        <v>618</v>
      </c>
      <c r="J293" s="40" t="s">
        <v>1115</v>
      </c>
      <c r="K293" s="9" t="s">
        <v>608</v>
      </c>
      <c r="L293" s="9" t="s">
        <v>32</v>
      </c>
      <c r="M293" s="11"/>
      <c r="N293" s="11"/>
      <c r="O293" s="50">
        <v>6.9119999999999999</v>
      </c>
      <c r="R293" s="9">
        <f>IFERROR(VLOOKUP(E293,Sheet6!$A$2:$B$500,2,FALSE),0)</f>
        <v>0</v>
      </c>
      <c r="S293" s="41">
        <f>IFERROR(VLOOKUP(E293,Sheet6!$C$2:$D$35017,2,FALSE),0)</f>
        <v>0</v>
      </c>
      <c r="U293" s="9">
        <f>IFERROR(VLOOKUP(E293,Sheet2!$AA$1:$AB$975,2,FALSE),0)</f>
        <v>0</v>
      </c>
      <c r="V293" s="41">
        <f>IFERROR(VLOOKUP(E293,Sheet2!$AC$1:$AD$975,2,FALSE),0)</f>
        <v>0</v>
      </c>
      <c r="W293" s="42">
        <f>IFERROR(VLOOKUP(E293,Sheet2!$AE$1:$AF$975,2,FALSE),0)</f>
        <v>0</v>
      </c>
      <c r="X293" s="43">
        <f>IFERROR(VLOOKUP(E293,Sheet2!$AG$1:$AH$975,2,FALSE),0)</f>
        <v>0</v>
      </c>
      <c r="Z293" s="60">
        <f>IFERROR(VLOOKUP(F293,Sheet2!$AA$1:$AB$975,2,FALSE),0)</f>
        <v>0</v>
      </c>
      <c r="AA293" s="64">
        <f>IFERROR(VLOOKUP(F293,Sheet2!$AC$1:$AD$975,2,FALSE),0)</f>
        <v>0</v>
      </c>
      <c r="AB293" s="65">
        <f>IFERROR(VLOOKUP(F293,Sheet2!$AE$2:$AF$6539,2,FALSE),0)</f>
        <v>0</v>
      </c>
      <c r="AC293" s="43">
        <f>IFERROR(VLOOKUP(F293,Sheet2!$AG$2:$AH$6539,2,FALSE),0)</f>
        <v>0</v>
      </c>
      <c r="AE293" s="112">
        <v>14</v>
      </c>
      <c r="AF293" s="9">
        <v>0</v>
      </c>
      <c r="AG293" s="9">
        <v>0</v>
      </c>
      <c r="AH293" s="9">
        <v>0</v>
      </c>
      <c r="AI293" s="9">
        <v>0</v>
      </c>
      <c r="AJ293" s="9">
        <f t="shared" si="10"/>
        <v>14</v>
      </c>
      <c r="AK293" s="45">
        <f t="shared" si="11"/>
        <v>96.768000000000001</v>
      </c>
      <c r="AL293" s="68">
        <v>0</v>
      </c>
      <c r="AM293" s="68">
        <v>0</v>
      </c>
    </row>
    <row r="294" spans="1:39" x14ac:dyDescent="0.2">
      <c r="A294" s="57" t="s">
        <v>2082</v>
      </c>
      <c r="B294" s="47">
        <v>46173</v>
      </c>
      <c r="C294" s="48"/>
      <c r="D294" s="48" t="s">
        <v>1501</v>
      </c>
      <c r="E294" s="49" t="s">
        <v>626</v>
      </c>
      <c r="F294" s="49" t="s">
        <v>627</v>
      </c>
      <c r="G294" s="47" t="e">
        <v>#N/A</v>
      </c>
      <c r="H294" s="47" t="s">
        <v>22</v>
      </c>
      <c r="I294" s="40" t="s">
        <v>618</v>
      </c>
      <c r="J294" s="40" t="s">
        <v>1115</v>
      </c>
      <c r="K294" s="9" t="s">
        <v>613</v>
      </c>
      <c r="L294" s="40" t="s">
        <v>29</v>
      </c>
      <c r="M294" s="11"/>
      <c r="N294" s="11"/>
      <c r="O294" s="50">
        <v>6.9119999999999999</v>
      </c>
      <c r="R294" s="9">
        <f>IFERROR(VLOOKUP(E294,Sheet6!$A$2:$B$500,2,FALSE),0)</f>
        <v>0</v>
      </c>
      <c r="S294" s="41">
        <f>IFERROR(VLOOKUP(E294,Sheet6!$C$2:$D$35017,2,FALSE),0)</f>
        <v>0</v>
      </c>
      <c r="U294" s="9">
        <f>IFERROR(VLOOKUP(E294,Sheet2!$AA$1:$AB$975,2,FALSE),0)</f>
        <v>0</v>
      </c>
      <c r="V294" s="41">
        <f>IFERROR(VLOOKUP(E294,Sheet2!$AC$1:$AD$975,2,FALSE),0)</f>
        <v>0</v>
      </c>
      <c r="W294" s="42">
        <f>IFERROR(VLOOKUP(E294,Sheet2!$AE$1:$AF$975,2,FALSE),0)</f>
        <v>0</v>
      </c>
      <c r="X294" s="43">
        <f>IFERROR(VLOOKUP(E294,Sheet2!$AG$1:$AH$975,2,FALSE),0)</f>
        <v>0</v>
      </c>
      <c r="Z294" s="60">
        <f>IFERROR(VLOOKUP(F294,Sheet2!$AA$1:$AB$975,2,FALSE),0)</f>
        <v>0</v>
      </c>
      <c r="AA294" s="64">
        <f>IFERROR(VLOOKUP(F294,Sheet2!$AC$1:$AD$975,2,FALSE),0)</f>
        <v>0</v>
      </c>
      <c r="AB294" s="65">
        <f>IFERROR(VLOOKUP(F294,Sheet2!$AE$2:$AF$6539,2,FALSE),0)</f>
        <v>0</v>
      </c>
      <c r="AC294" s="43">
        <f>IFERROR(VLOOKUP(F294,Sheet2!$AG$2:$AH$6539,2,FALSE),0)</f>
        <v>0</v>
      </c>
      <c r="AE294" s="112">
        <v>6</v>
      </c>
      <c r="AF294" s="9">
        <v>0</v>
      </c>
      <c r="AG294" s="9">
        <v>0</v>
      </c>
      <c r="AH294" s="9">
        <v>0</v>
      </c>
      <c r="AI294" s="9">
        <v>0</v>
      </c>
      <c r="AJ294" s="9">
        <f t="shared" si="10"/>
        <v>6</v>
      </c>
      <c r="AK294" s="45">
        <f t="shared" si="11"/>
        <v>41.472000000000001</v>
      </c>
      <c r="AL294" s="68">
        <v>0</v>
      </c>
      <c r="AM294" s="68">
        <v>0</v>
      </c>
    </row>
    <row r="295" spans="1:39" x14ac:dyDescent="0.2">
      <c r="A295" s="57" t="s">
        <v>2082</v>
      </c>
      <c r="B295" s="47">
        <v>46173</v>
      </c>
      <c r="C295" s="48"/>
      <c r="D295" s="48" t="s">
        <v>1502</v>
      </c>
      <c r="E295" s="49" t="s">
        <v>628</v>
      </c>
      <c r="F295" s="49" t="s">
        <v>629</v>
      </c>
      <c r="G295" s="47" t="e">
        <v>#N/A</v>
      </c>
      <c r="H295" s="47" t="s">
        <v>22</v>
      </c>
      <c r="I295" s="40" t="s">
        <v>618</v>
      </c>
      <c r="J295" s="40" t="s">
        <v>1115</v>
      </c>
      <c r="K295" s="9" t="s">
        <v>613</v>
      </c>
      <c r="L295" s="40" t="s">
        <v>32</v>
      </c>
      <c r="M295" s="11"/>
      <c r="N295" s="11"/>
      <c r="O295" s="50">
        <v>6.9119999999999999</v>
      </c>
      <c r="R295" s="9">
        <f>IFERROR(VLOOKUP(E295,Sheet6!$A$2:$B$500,2,FALSE),0)</f>
        <v>1</v>
      </c>
      <c r="S295" s="41">
        <f>IFERROR(VLOOKUP(E295,Sheet6!$C$2:$D$35017,2,FALSE),0)</f>
        <v>16</v>
      </c>
      <c r="U295" s="9">
        <f>IFERROR(VLOOKUP(E295,Sheet2!$AA$1:$AB$975,2,FALSE),0)</f>
        <v>0</v>
      </c>
      <c r="V295" s="41">
        <f>IFERROR(VLOOKUP(E295,Sheet2!$AC$1:$AD$975,2,FALSE),0)</f>
        <v>0</v>
      </c>
      <c r="W295" s="42">
        <f>IFERROR(VLOOKUP(E295,Sheet2!$AE$1:$AF$975,2,FALSE),0)</f>
        <v>0</v>
      </c>
      <c r="X295" s="43">
        <f>IFERROR(VLOOKUP(E295,Sheet2!$AG$1:$AH$975,2,FALSE),0)</f>
        <v>0</v>
      </c>
      <c r="Z295" s="60">
        <f>IFERROR(VLOOKUP(F295,Sheet2!$AA$1:$AB$975,2,FALSE),0)</f>
        <v>0</v>
      </c>
      <c r="AA295" s="64">
        <f>IFERROR(VLOOKUP(F295,Sheet2!$AC$1:$AD$975,2,FALSE),0)</f>
        <v>0</v>
      </c>
      <c r="AB295" s="65">
        <f>IFERROR(VLOOKUP(F295,Sheet2!$AE$2:$AF$6539,2,FALSE),0)</f>
        <v>0</v>
      </c>
      <c r="AC295" s="43">
        <f>IFERROR(VLOOKUP(F295,Sheet2!$AG$2:$AH$6539,2,FALSE),0)</f>
        <v>0</v>
      </c>
      <c r="AE295" s="112">
        <v>11</v>
      </c>
      <c r="AF295" s="9">
        <v>0</v>
      </c>
      <c r="AG295" s="9">
        <v>0</v>
      </c>
      <c r="AH295" s="9">
        <v>0</v>
      </c>
      <c r="AI295" s="9">
        <v>0</v>
      </c>
      <c r="AJ295" s="9">
        <f t="shared" si="10"/>
        <v>11</v>
      </c>
      <c r="AK295" s="45">
        <f t="shared" si="11"/>
        <v>76.031999999999996</v>
      </c>
      <c r="AL295" s="68">
        <v>0</v>
      </c>
      <c r="AM295" s="68">
        <v>0</v>
      </c>
    </row>
    <row r="296" spans="1:39" x14ac:dyDescent="0.2">
      <c r="A296" s="57" t="s">
        <v>2082</v>
      </c>
      <c r="B296" s="47">
        <v>46173</v>
      </c>
      <c r="C296" s="48"/>
      <c r="D296" s="48" t="s">
        <v>1503</v>
      </c>
      <c r="E296" s="49" t="s">
        <v>630</v>
      </c>
      <c r="F296" s="49" t="s">
        <v>631</v>
      </c>
      <c r="G296" s="47" t="e">
        <v>#N/A</v>
      </c>
      <c r="H296" s="47" t="s">
        <v>22</v>
      </c>
      <c r="I296" s="40" t="s">
        <v>618</v>
      </c>
      <c r="J296" s="40" t="s">
        <v>1115</v>
      </c>
      <c r="K296" s="9" t="s">
        <v>613</v>
      </c>
      <c r="L296" s="40" t="s">
        <v>35</v>
      </c>
      <c r="M296" s="11"/>
      <c r="N296" s="11"/>
      <c r="O296" s="50">
        <v>6.9119999999999999</v>
      </c>
      <c r="R296" s="9">
        <f>IFERROR(VLOOKUP(E296,Sheet6!$A$2:$B$500,2,FALSE),0)</f>
        <v>1</v>
      </c>
      <c r="S296" s="41">
        <f>IFERROR(VLOOKUP(E296,Sheet6!$C$2:$D$35017,2,FALSE),0)</f>
        <v>13.6</v>
      </c>
      <c r="U296" s="9">
        <f>IFERROR(VLOOKUP(E296,Sheet2!$AA$1:$AB$975,2,FALSE),0)</f>
        <v>0</v>
      </c>
      <c r="V296" s="41">
        <f>IFERROR(VLOOKUP(E296,Sheet2!$AC$1:$AD$975,2,FALSE),0)</f>
        <v>0</v>
      </c>
      <c r="W296" s="42">
        <f>IFERROR(VLOOKUP(E296,Sheet2!$AE$1:$AF$975,2,FALSE),0)</f>
        <v>0</v>
      </c>
      <c r="X296" s="43">
        <f>IFERROR(VLOOKUP(E296,Sheet2!$AG$1:$AH$975,2,FALSE),0)</f>
        <v>0</v>
      </c>
      <c r="Z296" s="60">
        <f>IFERROR(VLOOKUP(F296,Sheet2!$AA$1:$AB$975,2,FALSE),0)</f>
        <v>0</v>
      </c>
      <c r="AA296" s="64">
        <f>IFERROR(VLOOKUP(F296,Sheet2!$AC$1:$AD$975,2,FALSE),0)</f>
        <v>0</v>
      </c>
      <c r="AB296" s="65">
        <f>IFERROR(VLOOKUP(F296,Sheet2!$AE$2:$AF$6539,2,FALSE),0)</f>
        <v>0</v>
      </c>
      <c r="AC296" s="43">
        <f>IFERROR(VLOOKUP(F296,Sheet2!$AG$2:$AH$6539,2,FALSE),0)</f>
        <v>0</v>
      </c>
      <c r="AE296" s="112">
        <v>9</v>
      </c>
      <c r="AF296" s="9">
        <v>0</v>
      </c>
      <c r="AG296" s="9">
        <v>0</v>
      </c>
      <c r="AH296" s="9">
        <v>0</v>
      </c>
      <c r="AI296" s="9">
        <v>0</v>
      </c>
      <c r="AJ296" s="9">
        <f t="shared" si="10"/>
        <v>9</v>
      </c>
      <c r="AK296" s="45">
        <f t="shared" si="11"/>
        <v>62.207999999999998</v>
      </c>
      <c r="AL296" s="68">
        <v>0</v>
      </c>
      <c r="AM296" s="68">
        <v>0</v>
      </c>
    </row>
    <row r="297" spans="1:39" x14ac:dyDescent="0.2">
      <c r="A297" s="57" t="s">
        <v>2082</v>
      </c>
      <c r="B297" s="47">
        <v>46173</v>
      </c>
      <c r="C297" s="48"/>
      <c r="D297" s="48" t="s">
        <v>1504</v>
      </c>
      <c r="E297" s="49" t="s">
        <v>632</v>
      </c>
      <c r="F297" s="49" t="s">
        <v>633</v>
      </c>
      <c r="G297" s="47" t="e">
        <v>#N/A</v>
      </c>
      <c r="H297" s="47" t="s">
        <v>22</v>
      </c>
      <c r="I297" s="9" t="s">
        <v>634</v>
      </c>
      <c r="J297" s="40" t="s">
        <v>1742</v>
      </c>
      <c r="K297" s="9" t="s">
        <v>41</v>
      </c>
      <c r="L297" s="9" t="s">
        <v>32</v>
      </c>
      <c r="M297" s="11"/>
      <c r="N297" s="11"/>
      <c r="O297" s="50">
        <v>7.65</v>
      </c>
      <c r="R297" s="9">
        <f>IFERROR(VLOOKUP(E297,Sheet6!$A$2:$B$500,2,FALSE),0)</f>
        <v>0</v>
      </c>
      <c r="S297" s="41">
        <f>IFERROR(VLOOKUP(E297,Sheet6!$C$2:$D$35017,2,FALSE),0)</f>
        <v>0</v>
      </c>
      <c r="U297" s="9">
        <f>IFERROR(VLOOKUP(E297,Sheet2!$AA$1:$AB$975,2,FALSE),0)</f>
        <v>0</v>
      </c>
      <c r="V297" s="41">
        <f>IFERROR(VLOOKUP(E297,Sheet2!$AC$1:$AD$975,2,FALSE),0)</f>
        <v>0</v>
      </c>
      <c r="W297" s="42">
        <f>IFERROR(VLOOKUP(E297,Sheet2!$AE$1:$AF$975,2,FALSE),0)</f>
        <v>0</v>
      </c>
      <c r="X297" s="43">
        <f>IFERROR(VLOOKUP(E297,Sheet2!$AG$1:$AH$975,2,FALSE),0)</f>
        <v>0</v>
      </c>
      <c r="Z297" s="60">
        <f>IFERROR(VLOOKUP(F297,Sheet2!$AA$1:$AB$975,2,FALSE),0)</f>
        <v>0</v>
      </c>
      <c r="AA297" s="64">
        <f>IFERROR(VLOOKUP(F297,Sheet2!$AC$1:$AD$975,2,FALSE),0)</f>
        <v>0</v>
      </c>
      <c r="AB297" s="65">
        <f>IFERROR(VLOOKUP(F297,Sheet2!$AE$2:$AF$6539,2,FALSE),0)</f>
        <v>0</v>
      </c>
      <c r="AC297" s="43">
        <f>IFERROR(VLOOKUP(F297,Sheet2!$AG$2:$AH$6539,2,FALSE),0)</f>
        <v>0</v>
      </c>
      <c r="AE297" s="112">
        <v>0</v>
      </c>
      <c r="AF297" s="9">
        <v>0</v>
      </c>
      <c r="AG297" s="9">
        <v>0</v>
      </c>
      <c r="AH297" s="9">
        <v>0</v>
      </c>
      <c r="AI297" s="9">
        <v>0</v>
      </c>
      <c r="AJ297" s="9">
        <f t="shared" si="10"/>
        <v>0</v>
      </c>
      <c r="AK297" s="45">
        <f t="shared" si="11"/>
        <v>0</v>
      </c>
      <c r="AL297" s="68">
        <v>0</v>
      </c>
      <c r="AM297" s="68">
        <v>0</v>
      </c>
    </row>
    <row r="298" spans="1:39" x14ac:dyDescent="0.2">
      <c r="A298" s="57" t="s">
        <v>2082</v>
      </c>
      <c r="B298" s="47">
        <v>46173</v>
      </c>
      <c r="C298" s="48"/>
      <c r="D298" s="48" t="s">
        <v>1505</v>
      </c>
      <c r="E298" s="49" t="s">
        <v>991</v>
      </c>
      <c r="F298" s="49" t="s">
        <v>1051</v>
      </c>
      <c r="G298" s="47" t="e">
        <v>#N/A</v>
      </c>
      <c r="H298" s="47" t="s">
        <v>22</v>
      </c>
      <c r="I298" s="9" t="s">
        <v>1100</v>
      </c>
      <c r="J298" s="40" t="s">
        <v>1837</v>
      </c>
      <c r="K298" s="9" t="s">
        <v>41</v>
      </c>
      <c r="L298" s="9" t="s">
        <v>29</v>
      </c>
      <c r="M298" s="11"/>
      <c r="N298" s="11"/>
      <c r="O298" s="50">
        <v>8.64</v>
      </c>
      <c r="R298" s="9">
        <f>IFERROR(VLOOKUP(E298,Sheet6!$A$2:$B$500,2,FALSE),0)</f>
        <v>2</v>
      </c>
      <c r="S298" s="41">
        <f>IFERROR(VLOOKUP(E298,Sheet6!$C$2:$D$35017,2,FALSE),0)</f>
        <v>40</v>
      </c>
      <c r="U298" s="9">
        <f>IFERROR(VLOOKUP(E298,Sheet2!$AA$1:$AB$975,2,FALSE),0)</f>
        <v>0</v>
      </c>
      <c r="V298" s="41">
        <f>IFERROR(VLOOKUP(E298,Sheet2!$AC$1:$AD$975,2,FALSE),0)</f>
        <v>0</v>
      </c>
      <c r="W298" s="42">
        <f>IFERROR(VLOOKUP(E298,Sheet2!$AE$1:$AF$975,2,FALSE),0)</f>
        <v>0</v>
      </c>
      <c r="X298" s="43">
        <f>IFERROR(VLOOKUP(E298,Sheet2!$AG$1:$AH$975,2,FALSE),0)</f>
        <v>0</v>
      </c>
      <c r="Z298" s="60">
        <f>IFERROR(VLOOKUP(F298,Sheet2!$AA$1:$AB$975,2,FALSE),0)</f>
        <v>0</v>
      </c>
      <c r="AA298" s="64">
        <f>IFERROR(VLOOKUP(F298,Sheet2!$AC$1:$AD$975,2,FALSE),0)</f>
        <v>0</v>
      </c>
      <c r="AB298" s="65">
        <f>IFERROR(VLOOKUP(F298,Sheet2!$AE$2:$AF$6539,2,FALSE),0)</f>
        <v>0</v>
      </c>
      <c r="AC298" s="43">
        <f>IFERROR(VLOOKUP(F298,Sheet2!$AG$2:$AH$6539,2,FALSE),0)</f>
        <v>0</v>
      </c>
      <c r="AE298" s="112">
        <v>26</v>
      </c>
      <c r="AF298" s="9">
        <v>0</v>
      </c>
      <c r="AG298" s="9">
        <v>0</v>
      </c>
      <c r="AH298" s="9">
        <v>0</v>
      </c>
      <c r="AI298" s="9">
        <v>0</v>
      </c>
      <c r="AJ298" s="9">
        <f t="shared" si="10"/>
        <v>26</v>
      </c>
      <c r="AK298" s="45">
        <f t="shared" si="11"/>
        <v>224.64000000000001</v>
      </c>
      <c r="AL298" s="68">
        <v>0</v>
      </c>
      <c r="AM298" s="68">
        <v>0</v>
      </c>
    </row>
    <row r="299" spans="1:39" x14ac:dyDescent="0.2">
      <c r="A299" s="57" t="s">
        <v>2082</v>
      </c>
      <c r="B299" s="47">
        <v>46173</v>
      </c>
      <c r="C299" s="48"/>
      <c r="D299" s="48" t="s">
        <v>1506</v>
      </c>
      <c r="E299" s="49" t="s">
        <v>992</v>
      </c>
      <c r="F299" s="49" t="s">
        <v>1052</v>
      </c>
      <c r="G299" s="47" t="e">
        <v>#N/A</v>
      </c>
      <c r="H299" s="47" t="s">
        <v>22</v>
      </c>
      <c r="I299" s="9" t="s">
        <v>1100</v>
      </c>
      <c r="J299" s="40" t="s">
        <v>1837</v>
      </c>
      <c r="K299" s="9" t="s">
        <v>41</v>
      </c>
      <c r="L299" s="9" t="s">
        <v>32</v>
      </c>
      <c r="M299" s="11"/>
      <c r="N299" s="11"/>
      <c r="O299" s="50">
        <v>8.64</v>
      </c>
      <c r="R299" s="9">
        <f>IFERROR(VLOOKUP(E299,Sheet6!$A$2:$B$500,2,FALSE),0)</f>
        <v>0</v>
      </c>
      <c r="S299" s="41">
        <f>IFERROR(VLOOKUP(E299,Sheet6!$C$2:$D$35017,2,FALSE),0)</f>
        <v>0</v>
      </c>
      <c r="U299" s="9">
        <f>IFERROR(VLOOKUP(E299,Sheet2!$AA$1:$AB$975,2,FALSE),0)</f>
        <v>0</v>
      </c>
      <c r="V299" s="41">
        <f>IFERROR(VLOOKUP(E299,Sheet2!$AC$1:$AD$975,2,FALSE),0)</f>
        <v>0</v>
      </c>
      <c r="W299" s="42">
        <f>IFERROR(VLOOKUP(E299,Sheet2!$AE$1:$AF$975,2,FALSE),0)</f>
        <v>0</v>
      </c>
      <c r="X299" s="43">
        <f>IFERROR(VLOOKUP(E299,Sheet2!$AG$1:$AH$975,2,FALSE),0)</f>
        <v>0</v>
      </c>
      <c r="Z299" s="60">
        <f>IFERROR(VLOOKUP(F299,Sheet2!$AA$1:$AB$975,2,FALSE),0)</f>
        <v>15</v>
      </c>
      <c r="AA299" s="64">
        <f>IFERROR(VLOOKUP(F299,Sheet2!$AC$1:$AD$975,2,FALSE),0)</f>
        <v>300</v>
      </c>
      <c r="AB299" s="65">
        <f>IFERROR(VLOOKUP(F299,Sheet2!$AE$2:$AF$6539,2,FALSE),0)</f>
        <v>45</v>
      </c>
      <c r="AC299" s="43">
        <f>IFERROR(VLOOKUP(F299,Sheet2!$AG$2:$AH$6539,2,FALSE),0)</f>
        <v>1</v>
      </c>
      <c r="AE299" s="112">
        <v>9</v>
      </c>
      <c r="AF299" s="9">
        <v>0</v>
      </c>
      <c r="AG299" s="9">
        <v>0</v>
      </c>
      <c r="AH299" s="9">
        <v>1</v>
      </c>
      <c r="AI299" s="9">
        <v>1</v>
      </c>
      <c r="AJ299" s="9">
        <f t="shared" si="10"/>
        <v>10</v>
      </c>
      <c r="AK299" s="45">
        <f t="shared" si="11"/>
        <v>86.4</v>
      </c>
      <c r="AL299" s="68">
        <v>24</v>
      </c>
      <c r="AM299" s="68">
        <v>12</v>
      </c>
    </row>
    <row r="300" spans="1:39" x14ac:dyDescent="0.2">
      <c r="A300" s="57" t="s">
        <v>2082</v>
      </c>
      <c r="B300" s="47">
        <v>46173</v>
      </c>
      <c r="C300" s="48"/>
      <c r="D300" s="48" t="s">
        <v>1507</v>
      </c>
      <c r="E300" s="49" t="s">
        <v>993</v>
      </c>
      <c r="F300" s="49" t="s">
        <v>1053</v>
      </c>
      <c r="G300" s="47" t="e">
        <v>#N/A</v>
      </c>
      <c r="H300" s="47" t="s">
        <v>22</v>
      </c>
      <c r="I300" s="9" t="s">
        <v>1100</v>
      </c>
      <c r="J300" s="40" t="s">
        <v>1837</v>
      </c>
      <c r="K300" s="9" t="s">
        <v>41</v>
      </c>
      <c r="L300" s="9" t="s">
        <v>35</v>
      </c>
      <c r="M300" s="11"/>
      <c r="N300" s="11"/>
      <c r="O300" s="50">
        <v>8.64</v>
      </c>
      <c r="R300" s="9">
        <f>IFERROR(VLOOKUP(E300,Sheet6!$A$2:$B$500,2,FALSE),0)</f>
        <v>0</v>
      </c>
      <c r="S300" s="41">
        <f>IFERROR(VLOOKUP(E300,Sheet6!$C$2:$D$35017,2,FALSE),0)</f>
        <v>0</v>
      </c>
      <c r="U300" s="9">
        <f>IFERROR(VLOOKUP(E300,Sheet2!$AA$1:$AB$975,2,FALSE),0)</f>
        <v>5</v>
      </c>
      <c r="V300" s="41">
        <f>IFERROR(VLOOKUP(E300,Sheet2!$AC$1:$AD$975,2,FALSE),0)</f>
        <v>100</v>
      </c>
      <c r="W300" s="42">
        <f>IFERROR(VLOOKUP(E300,Sheet2!$AE$1:$AF$975,2,FALSE),0)</f>
        <v>35</v>
      </c>
      <c r="X300" s="43">
        <f>IFERROR(VLOOKUP(E300,Sheet2!$AG$1:$AH$975,2,FALSE),0)</f>
        <v>0.97560000000000002</v>
      </c>
      <c r="Z300" s="60">
        <f>IFERROR(VLOOKUP(F300,Sheet2!$AA$1:$AB$975,2,FALSE),0)</f>
        <v>2</v>
      </c>
      <c r="AA300" s="64">
        <f>IFERROR(VLOOKUP(F300,Sheet2!$AC$1:$AD$975,2,FALSE),0)</f>
        <v>40</v>
      </c>
      <c r="AB300" s="65">
        <f>IFERROR(VLOOKUP(F300,Sheet2!$AE$2:$AF$6539,2,FALSE),0)</f>
        <v>35</v>
      </c>
      <c r="AC300" s="43">
        <f>IFERROR(VLOOKUP(F300,Sheet2!$AG$2:$AH$6539,2,FALSE),0)</f>
        <v>0.97560000000000002</v>
      </c>
      <c r="AE300" s="112">
        <v>7</v>
      </c>
      <c r="AF300" s="9">
        <v>0</v>
      </c>
      <c r="AG300" s="9">
        <v>0</v>
      </c>
      <c r="AH300" s="9">
        <v>0</v>
      </c>
      <c r="AI300" s="9">
        <v>0</v>
      </c>
      <c r="AJ300" s="9">
        <f t="shared" si="10"/>
        <v>7</v>
      </c>
      <c r="AK300" s="45">
        <f t="shared" si="11"/>
        <v>60.480000000000004</v>
      </c>
      <c r="AL300" s="68">
        <v>6</v>
      </c>
      <c r="AM300" s="68">
        <v>0</v>
      </c>
    </row>
    <row r="301" spans="1:39" x14ac:dyDescent="0.2">
      <c r="A301" s="57" t="s">
        <v>2082</v>
      </c>
      <c r="B301" s="47">
        <v>46173</v>
      </c>
      <c r="C301" s="48"/>
      <c r="D301" s="48" t="s">
        <v>1508</v>
      </c>
      <c r="E301" s="49" t="s">
        <v>638</v>
      </c>
      <c r="F301" s="49" t="s">
        <v>639</v>
      </c>
      <c r="G301" s="47" t="e">
        <v>#N/A</v>
      </c>
      <c r="H301" s="47" t="s">
        <v>22</v>
      </c>
      <c r="I301" s="40" t="s">
        <v>635</v>
      </c>
      <c r="J301" s="40" t="s">
        <v>1846</v>
      </c>
      <c r="K301" s="40" t="s">
        <v>636</v>
      </c>
      <c r="L301" s="40" t="s">
        <v>637</v>
      </c>
      <c r="M301" s="11"/>
      <c r="N301" s="11"/>
      <c r="O301" s="50">
        <v>19.440000000000001</v>
      </c>
      <c r="R301" s="9">
        <f>IFERROR(VLOOKUP(E301,Sheet6!$A$2:$B$500,2,FALSE),0)</f>
        <v>0</v>
      </c>
      <c r="S301" s="41">
        <f>IFERROR(VLOOKUP(E301,Sheet6!$C$2:$D$35017,2,FALSE),0)</f>
        <v>0</v>
      </c>
      <c r="U301" s="9">
        <f>IFERROR(VLOOKUP(E301,Sheet2!$AA$1:$AB$975,2,FALSE),0)</f>
        <v>0</v>
      </c>
      <c r="V301" s="41">
        <f>IFERROR(VLOOKUP(E301,Sheet2!$AC$1:$AD$975,2,FALSE),0)</f>
        <v>0</v>
      </c>
      <c r="W301" s="42">
        <f>IFERROR(VLOOKUP(E301,Sheet2!$AE$1:$AF$975,2,FALSE),0)</f>
        <v>0</v>
      </c>
      <c r="X301" s="43">
        <f>IFERROR(VLOOKUP(E301,Sheet2!$AG$1:$AH$975,2,FALSE),0)</f>
        <v>0</v>
      </c>
      <c r="Z301" s="60">
        <f>IFERROR(VLOOKUP(F301,Sheet2!$AA$1:$AB$975,2,FALSE),0)</f>
        <v>0</v>
      </c>
      <c r="AA301" s="64">
        <f>IFERROR(VLOOKUP(F301,Sheet2!$AC$1:$AD$975,2,FALSE),0)</f>
        <v>0</v>
      </c>
      <c r="AB301" s="65">
        <f>IFERROR(VLOOKUP(F301,Sheet2!$AE$2:$AF$6539,2,FALSE),0)</f>
        <v>0</v>
      </c>
      <c r="AC301" s="43">
        <f>IFERROR(VLOOKUP(F301,Sheet2!$AG$2:$AH$6539,2,FALSE),0)</f>
        <v>0</v>
      </c>
      <c r="AE301" s="112">
        <v>11</v>
      </c>
      <c r="AF301" s="9">
        <v>0</v>
      </c>
      <c r="AG301" s="9">
        <v>0</v>
      </c>
      <c r="AH301" s="9">
        <v>0</v>
      </c>
      <c r="AI301" s="9">
        <v>0</v>
      </c>
      <c r="AJ301" s="9">
        <f t="shared" si="10"/>
        <v>11</v>
      </c>
      <c r="AK301" s="45">
        <f t="shared" si="11"/>
        <v>213.84</v>
      </c>
      <c r="AL301" s="68">
        <v>0</v>
      </c>
      <c r="AM301" s="68">
        <v>0</v>
      </c>
    </row>
    <row r="302" spans="1:39" x14ac:dyDescent="0.2">
      <c r="A302" s="57" t="s">
        <v>2082</v>
      </c>
      <c r="B302" s="47">
        <v>46173</v>
      </c>
      <c r="C302" s="48"/>
      <c r="D302" s="48" t="s">
        <v>1509</v>
      </c>
      <c r="E302" s="49" t="s">
        <v>640</v>
      </c>
      <c r="F302" s="49" t="s">
        <v>641</v>
      </c>
      <c r="G302" s="47" t="e">
        <v>#N/A</v>
      </c>
      <c r="H302" s="47" t="s">
        <v>22</v>
      </c>
      <c r="I302" s="40" t="s">
        <v>635</v>
      </c>
      <c r="J302" s="40" t="s">
        <v>1846</v>
      </c>
      <c r="K302" s="40" t="s">
        <v>608</v>
      </c>
      <c r="L302" s="40" t="s">
        <v>637</v>
      </c>
      <c r="M302" s="11"/>
      <c r="N302" s="11"/>
      <c r="O302" s="50">
        <v>19.440000000000001</v>
      </c>
      <c r="R302" s="9">
        <f>IFERROR(VLOOKUP(E302,Sheet6!$A$2:$B$500,2,FALSE),0)</f>
        <v>0</v>
      </c>
      <c r="S302" s="41">
        <f>IFERROR(VLOOKUP(E302,Sheet6!$C$2:$D$35017,2,FALSE),0)</f>
        <v>0</v>
      </c>
      <c r="U302" s="9">
        <f>IFERROR(VLOOKUP(E302,Sheet2!$AA$1:$AB$975,2,FALSE),0)</f>
        <v>2</v>
      </c>
      <c r="V302" s="41">
        <f>IFERROR(VLOOKUP(E302,Sheet2!$AC$1:$AD$975,2,FALSE),0)</f>
        <v>89.98</v>
      </c>
      <c r="W302" s="42">
        <f>IFERROR(VLOOKUP(E302,Sheet2!$AE$1:$AF$975,2,FALSE),0)</f>
        <v>149</v>
      </c>
      <c r="X302" s="43">
        <f>IFERROR(VLOOKUP(E302,Sheet2!$AG$1:$AH$975,2,FALSE),0)</f>
        <v>1</v>
      </c>
      <c r="Z302" s="60">
        <f>IFERROR(VLOOKUP(F302,Sheet2!$AA$1:$AB$975,2,FALSE),0)</f>
        <v>12</v>
      </c>
      <c r="AA302" s="64">
        <f>IFERROR(VLOOKUP(F302,Sheet2!$AC$1:$AD$975,2,FALSE),0)</f>
        <v>539.88</v>
      </c>
      <c r="AB302" s="65">
        <f>IFERROR(VLOOKUP(F302,Sheet2!$AE$2:$AF$6539,2,FALSE),0)</f>
        <v>149</v>
      </c>
      <c r="AC302" s="43">
        <f>IFERROR(VLOOKUP(F302,Sheet2!$AG$2:$AH$6539,2,FALSE),0)</f>
        <v>1</v>
      </c>
      <c r="AE302" s="112">
        <v>0</v>
      </c>
      <c r="AF302" s="9">
        <v>0</v>
      </c>
      <c r="AG302" s="9">
        <v>0</v>
      </c>
      <c r="AH302" s="9">
        <v>0</v>
      </c>
      <c r="AI302" s="9">
        <v>0</v>
      </c>
      <c r="AJ302" s="9">
        <f t="shared" si="10"/>
        <v>0</v>
      </c>
      <c r="AK302" s="45">
        <f t="shared" si="11"/>
        <v>0</v>
      </c>
      <c r="AL302" s="68">
        <v>18</v>
      </c>
      <c r="AM302" s="68">
        <v>0</v>
      </c>
    </row>
    <row r="303" spans="1:39" x14ac:dyDescent="0.2">
      <c r="A303" s="57" t="s">
        <v>2082</v>
      </c>
      <c r="B303" s="47">
        <v>46173</v>
      </c>
      <c r="C303" s="48"/>
      <c r="D303" s="48" t="s">
        <v>1510</v>
      </c>
      <c r="E303" s="49" t="s">
        <v>642</v>
      </c>
      <c r="F303" s="49" t="s">
        <v>643</v>
      </c>
      <c r="G303" s="47" t="e">
        <v>#N/A</v>
      </c>
      <c r="H303" s="47" t="s">
        <v>22</v>
      </c>
      <c r="I303" s="40" t="s">
        <v>635</v>
      </c>
      <c r="J303" s="40" t="s">
        <v>1846</v>
      </c>
      <c r="K303" s="40" t="s">
        <v>608</v>
      </c>
      <c r="L303" s="40" t="s">
        <v>644</v>
      </c>
      <c r="M303" s="11"/>
      <c r="N303" s="11"/>
      <c r="O303" s="50">
        <v>19.440000000000001</v>
      </c>
      <c r="R303" s="9">
        <f>IFERROR(VLOOKUP(E303,Sheet6!$A$2:$B$500,2,FALSE),0)</f>
        <v>1</v>
      </c>
      <c r="S303" s="41">
        <f>IFERROR(VLOOKUP(E303,Sheet6!$C$2:$D$35017,2,FALSE),0)</f>
        <v>45</v>
      </c>
      <c r="U303" s="9">
        <f>IFERROR(VLOOKUP(E303,Sheet2!$AA$1:$AB$975,2,FALSE),0)</f>
        <v>5</v>
      </c>
      <c r="V303" s="41">
        <f>IFERROR(VLOOKUP(E303,Sheet2!$AC$1:$AD$975,2,FALSE),0)</f>
        <v>224.95</v>
      </c>
      <c r="W303" s="42">
        <f>IFERROR(VLOOKUP(E303,Sheet2!$AE$1:$AF$975,2,FALSE),0)</f>
        <v>51</v>
      </c>
      <c r="X303" s="43">
        <f>IFERROR(VLOOKUP(E303,Sheet2!$AG$1:$AH$975,2,FALSE),0)</f>
        <v>1</v>
      </c>
      <c r="Z303" s="60">
        <f>IFERROR(VLOOKUP(F303,Sheet2!$AA$1:$AB$975,2,FALSE),0)</f>
        <v>1</v>
      </c>
      <c r="AA303" s="64">
        <f>IFERROR(VLOOKUP(F303,Sheet2!$AC$1:$AD$975,2,FALSE),0)</f>
        <v>44.99</v>
      </c>
      <c r="AB303" s="65">
        <f>IFERROR(VLOOKUP(F303,Sheet2!$AE$2:$AF$6539,2,FALSE),0)</f>
        <v>51</v>
      </c>
      <c r="AC303" s="43">
        <f>IFERROR(VLOOKUP(F303,Sheet2!$AG$2:$AH$6539,2,FALSE),0)</f>
        <v>1</v>
      </c>
      <c r="AE303" s="112">
        <v>0</v>
      </c>
      <c r="AF303" s="9">
        <v>0</v>
      </c>
      <c r="AG303" s="9">
        <v>0</v>
      </c>
      <c r="AH303" s="9">
        <v>23</v>
      </c>
      <c r="AI303" s="9">
        <v>23</v>
      </c>
      <c r="AJ303" s="9">
        <f t="shared" si="10"/>
        <v>23</v>
      </c>
      <c r="AK303" s="45">
        <f t="shared" si="11"/>
        <v>447.12</v>
      </c>
      <c r="AL303" s="68">
        <v>0</v>
      </c>
      <c r="AM303" s="68">
        <v>0</v>
      </c>
    </row>
    <row r="304" spans="1:39" x14ac:dyDescent="0.2">
      <c r="A304" s="57" t="s">
        <v>2082</v>
      </c>
      <c r="B304" s="47">
        <v>46173</v>
      </c>
      <c r="C304" s="48"/>
      <c r="D304" s="48" t="s">
        <v>1511</v>
      </c>
      <c r="E304" s="49" t="s">
        <v>645</v>
      </c>
      <c r="F304" s="49" t="s">
        <v>646</v>
      </c>
      <c r="G304" s="47" t="e">
        <v>#N/A</v>
      </c>
      <c r="H304" s="47" t="s">
        <v>22</v>
      </c>
      <c r="I304" s="40" t="s">
        <v>635</v>
      </c>
      <c r="J304" s="40" t="s">
        <v>1846</v>
      </c>
      <c r="K304" s="40" t="s">
        <v>613</v>
      </c>
      <c r="L304" s="40" t="s">
        <v>637</v>
      </c>
      <c r="M304" s="11"/>
      <c r="N304" s="11"/>
      <c r="O304" s="50">
        <v>19.440000000000001</v>
      </c>
      <c r="R304" s="9">
        <f>IFERROR(VLOOKUP(E304,Sheet6!$A$2:$B$500,2,FALSE),0)</f>
        <v>0</v>
      </c>
      <c r="S304" s="41">
        <f>IFERROR(VLOOKUP(E304,Sheet6!$C$2:$D$35017,2,FALSE),0)</f>
        <v>0</v>
      </c>
      <c r="U304" s="9">
        <f>IFERROR(VLOOKUP(E304,Sheet2!$AA$1:$AB$975,2,FALSE),0)</f>
        <v>0</v>
      </c>
      <c r="V304" s="41">
        <f>IFERROR(VLOOKUP(E304,Sheet2!$AC$1:$AD$975,2,FALSE),0)</f>
        <v>0</v>
      </c>
      <c r="W304" s="42">
        <f>IFERROR(VLOOKUP(E304,Sheet2!$AE$1:$AF$975,2,FALSE),0)</f>
        <v>0</v>
      </c>
      <c r="X304" s="43">
        <f>IFERROR(VLOOKUP(E304,Sheet2!$AG$1:$AH$975,2,FALSE),0)</f>
        <v>0</v>
      </c>
      <c r="Z304" s="60">
        <f>IFERROR(VLOOKUP(F304,Sheet2!$AA$1:$AB$975,2,FALSE),0)</f>
        <v>0</v>
      </c>
      <c r="AA304" s="64">
        <f>IFERROR(VLOOKUP(F304,Sheet2!$AC$1:$AD$975,2,FALSE),0)</f>
        <v>0</v>
      </c>
      <c r="AB304" s="65">
        <f>IFERROR(VLOOKUP(F304,Sheet2!$AE$2:$AF$6539,2,FALSE),0)</f>
        <v>0</v>
      </c>
      <c r="AC304" s="43">
        <f>IFERROR(VLOOKUP(F304,Sheet2!$AG$2:$AH$6539,2,FALSE),0)</f>
        <v>0</v>
      </c>
      <c r="AE304" s="112">
        <v>13</v>
      </c>
      <c r="AF304" s="9">
        <v>2</v>
      </c>
      <c r="AG304" s="9">
        <v>0</v>
      </c>
      <c r="AH304" s="9">
        <v>0</v>
      </c>
      <c r="AI304" s="9">
        <v>2</v>
      </c>
      <c r="AJ304" s="9">
        <f t="shared" si="10"/>
        <v>15</v>
      </c>
      <c r="AK304" s="45">
        <f t="shared" si="11"/>
        <v>291.60000000000002</v>
      </c>
      <c r="AL304" s="68">
        <v>6</v>
      </c>
      <c r="AM304" s="68">
        <v>0</v>
      </c>
    </row>
    <row r="305" spans="1:39" x14ac:dyDescent="0.2">
      <c r="A305" s="57" t="s">
        <v>2082</v>
      </c>
      <c r="B305" s="47">
        <v>46173</v>
      </c>
      <c r="C305" s="48"/>
      <c r="D305" s="48" t="s">
        <v>1512</v>
      </c>
      <c r="E305" s="49" t="s">
        <v>647</v>
      </c>
      <c r="F305" s="49" t="s">
        <v>648</v>
      </c>
      <c r="G305" s="47" t="e">
        <v>#N/A</v>
      </c>
      <c r="H305" s="47" t="s">
        <v>22</v>
      </c>
      <c r="I305" s="40" t="s">
        <v>635</v>
      </c>
      <c r="J305" s="40" t="s">
        <v>1846</v>
      </c>
      <c r="K305" s="40" t="s">
        <v>613</v>
      </c>
      <c r="L305" s="40" t="s">
        <v>644</v>
      </c>
      <c r="M305" s="11"/>
      <c r="N305" s="11"/>
      <c r="O305" s="50">
        <v>19.440000000000001</v>
      </c>
      <c r="R305" s="9">
        <f>IFERROR(VLOOKUP(E305,Sheet6!$A$2:$B$500,2,FALSE),0)</f>
        <v>0</v>
      </c>
      <c r="S305" s="41">
        <f>IFERROR(VLOOKUP(E305,Sheet6!$C$2:$D$35017,2,FALSE),0)</f>
        <v>0</v>
      </c>
      <c r="U305" s="9">
        <f>IFERROR(VLOOKUP(E305,Sheet2!$AA$1:$AB$975,2,FALSE),0)</f>
        <v>0</v>
      </c>
      <c r="V305" s="41">
        <f>IFERROR(VLOOKUP(E305,Sheet2!$AC$1:$AD$975,2,FALSE),0)</f>
        <v>0</v>
      </c>
      <c r="W305" s="42">
        <f>IFERROR(VLOOKUP(E305,Sheet2!$AE$1:$AF$975,2,FALSE),0)</f>
        <v>0</v>
      </c>
      <c r="X305" s="43">
        <f>IFERROR(VLOOKUP(E305,Sheet2!$AG$1:$AH$975,2,FALSE),0)</f>
        <v>0</v>
      </c>
      <c r="Z305" s="60">
        <f>IFERROR(VLOOKUP(F305,Sheet2!$AA$1:$AB$975,2,FALSE),0)</f>
        <v>0</v>
      </c>
      <c r="AA305" s="64">
        <f>IFERROR(VLOOKUP(F305,Sheet2!$AC$1:$AD$975,2,FALSE),0)</f>
        <v>0</v>
      </c>
      <c r="AB305" s="65">
        <f>IFERROR(VLOOKUP(F305,Sheet2!$AE$2:$AF$6539,2,FALSE),0)</f>
        <v>0</v>
      </c>
      <c r="AC305" s="43">
        <f>IFERROR(VLOOKUP(F305,Sheet2!$AG$2:$AH$6539,2,FALSE),0)</f>
        <v>0</v>
      </c>
      <c r="AE305" s="112">
        <v>0</v>
      </c>
      <c r="AF305" s="9">
        <v>0</v>
      </c>
      <c r="AG305" s="9">
        <v>0</v>
      </c>
      <c r="AH305" s="9">
        <v>0</v>
      </c>
      <c r="AI305" s="9">
        <v>0</v>
      </c>
      <c r="AJ305" s="9">
        <f t="shared" si="10"/>
        <v>0</v>
      </c>
      <c r="AK305" s="45">
        <f t="shared" si="11"/>
        <v>0</v>
      </c>
      <c r="AL305" s="68">
        <v>12</v>
      </c>
      <c r="AM305" s="68">
        <v>12</v>
      </c>
    </row>
    <row r="306" spans="1:39" x14ac:dyDescent="0.2">
      <c r="A306" s="57" t="s">
        <v>2082</v>
      </c>
      <c r="B306" s="47">
        <v>46173</v>
      </c>
      <c r="C306" s="48"/>
      <c r="D306" s="48" t="s">
        <v>1513</v>
      </c>
      <c r="E306" s="49" t="s">
        <v>649</v>
      </c>
      <c r="F306" s="49" t="s">
        <v>650</v>
      </c>
      <c r="G306" s="47" t="e">
        <v>#N/A</v>
      </c>
      <c r="H306" s="47" t="s">
        <v>22</v>
      </c>
      <c r="I306" s="40" t="s">
        <v>651</v>
      </c>
      <c r="J306" s="40" t="s">
        <v>1721</v>
      </c>
      <c r="K306" s="40" t="s">
        <v>24</v>
      </c>
      <c r="L306" s="40" t="s">
        <v>637</v>
      </c>
      <c r="M306" s="11"/>
      <c r="N306" s="11"/>
      <c r="O306" s="50">
        <v>19.440000000000001</v>
      </c>
      <c r="R306" s="9">
        <f>IFERROR(VLOOKUP(E306,Sheet6!$A$2:$B$500,2,FALSE),0)</f>
        <v>0</v>
      </c>
      <c r="S306" s="41">
        <f>IFERROR(VLOOKUP(E306,Sheet6!$C$2:$D$35017,2,FALSE),0)</f>
        <v>0</v>
      </c>
      <c r="U306" s="9">
        <f>IFERROR(VLOOKUP(E306,Sheet2!$AA$1:$AB$975,2,FALSE),0)</f>
        <v>0</v>
      </c>
      <c r="V306" s="41">
        <f>IFERROR(VLOOKUP(E306,Sheet2!$AC$1:$AD$975,2,FALSE),0)</f>
        <v>0</v>
      </c>
      <c r="W306" s="42">
        <f>IFERROR(VLOOKUP(E306,Sheet2!$AE$1:$AF$975,2,FALSE),0)</f>
        <v>0</v>
      </c>
      <c r="X306" s="43">
        <f>IFERROR(VLOOKUP(E306,Sheet2!$AG$1:$AH$975,2,FALSE),0)</f>
        <v>0</v>
      </c>
      <c r="Z306" s="60">
        <f>IFERROR(VLOOKUP(F306,Sheet2!$AA$1:$AB$975,2,FALSE),0)</f>
        <v>1</v>
      </c>
      <c r="AA306" s="64">
        <f>IFERROR(VLOOKUP(F306,Sheet2!$AC$1:$AD$975,2,FALSE),0)</f>
        <v>44.99</v>
      </c>
      <c r="AB306" s="65">
        <f>IFERROR(VLOOKUP(F306,Sheet2!$AE$2:$AF$6539,2,FALSE),0)</f>
        <v>65</v>
      </c>
      <c r="AC306" s="43">
        <f>IFERROR(VLOOKUP(F306,Sheet2!$AG$2:$AH$6539,2,FALSE),0)</f>
        <v>0.11269999999999999</v>
      </c>
      <c r="AE306" s="112">
        <v>3</v>
      </c>
      <c r="AF306" s="9">
        <v>0</v>
      </c>
      <c r="AG306" s="9">
        <v>5</v>
      </c>
      <c r="AH306" s="9">
        <v>0</v>
      </c>
      <c r="AI306" s="9">
        <v>5</v>
      </c>
      <c r="AJ306" s="9">
        <f t="shared" si="10"/>
        <v>8</v>
      </c>
      <c r="AK306" s="45">
        <f t="shared" si="11"/>
        <v>155.52000000000001</v>
      </c>
      <c r="AL306" s="68">
        <v>0</v>
      </c>
      <c r="AM306" s="68">
        <v>0</v>
      </c>
    </row>
    <row r="307" spans="1:39" x14ac:dyDescent="0.2">
      <c r="A307" s="57" t="s">
        <v>2082</v>
      </c>
      <c r="B307" s="47">
        <v>46173</v>
      </c>
      <c r="C307" s="48"/>
      <c r="D307" s="48" t="s">
        <v>1514</v>
      </c>
      <c r="E307" s="49" t="s">
        <v>652</v>
      </c>
      <c r="F307" s="49" t="s">
        <v>653</v>
      </c>
      <c r="G307" s="47" t="e">
        <v>#N/A</v>
      </c>
      <c r="H307" s="47" t="s">
        <v>22</v>
      </c>
      <c r="I307" s="40" t="s">
        <v>651</v>
      </c>
      <c r="J307" s="40" t="s">
        <v>1721</v>
      </c>
      <c r="K307" s="40" t="s">
        <v>24</v>
      </c>
      <c r="L307" s="40" t="s">
        <v>644</v>
      </c>
      <c r="M307" s="11"/>
      <c r="N307" s="11"/>
      <c r="O307" s="50">
        <v>19.440000000000001</v>
      </c>
      <c r="R307" s="9">
        <f>IFERROR(VLOOKUP(E307,Sheet6!$A$2:$B$500,2,FALSE),0)</f>
        <v>0</v>
      </c>
      <c r="S307" s="41">
        <f>IFERROR(VLOOKUP(E307,Sheet6!$C$2:$D$35017,2,FALSE),0)</f>
        <v>0</v>
      </c>
      <c r="U307" s="9">
        <f>IFERROR(VLOOKUP(E307,Sheet2!$AA$1:$AB$975,2,FALSE),0)</f>
        <v>0</v>
      </c>
      <c r="V307" s="41">
        <f>IFERROR(VLOOKUP(E307,Sheet2!$AC$1:$AD$975,2,FALSE),0)</f>
        <v>0</v>
      </c>
      <c r="W307" s="42">
        <f>IFERROR(VLOOKUP(E307,Sheet2!$AE$1:$AF$975,2,FALSE),0)</f>
        <v>0</v>
      </c>
      <c r="X307" s="43">
        <f>IFERROR(VLOOKUP(E307,Sheet2!$AG$1:$AH$975,2,FALSE),0)</f>
        <v>0</v>
      </c>
      <c r="Z307" s="60">
        <f>IFERROR(VLOOKUP(F307,Sheet2!$AA$1:$AB$975,2,FALSE),0)</f>
        <v>24</v>
      </c>
      <c r="AA307" s="64">
        <f>IFERROR(VLOOKUP(F307,Sheet2!$AC$1:$AD$975,2,FALSE),0)</f>
        <v>1079.76</v>
      </c>
      <c r="AB307" s="65">
        <f>IFERROR(VLOOKUP(F307,Sheet2!$AE$2:$AF$6539,2,FALSE),0)</f>
        <v>139</v>
      </c>
      <c r="AC307" s="43">
        <f>IFERROR(VLOOKUP(F307,Sheet2!$AG$2:$AH$6539,2,FALSE),0)</f>
        <v>0.71640000000000004</v>
      </c>
      <c r="AE307" s="112">
        <v>0</v>
      </c>
      <c r="AF307" s="9">
        <v>3</v>
      </c>
      <c r="AG307" s="9">
        <v>0</v>
      </c>
      <c r="AH307" s="9">
        <v>0</v>
      </c>
      <c r="AI307" s="9">
        <v>3</v>
      </c>
      <c r="AJ307" s="9">
        <f t="shared" si="10"/>
        <v>3</v>
      </c>
      <c r="AK307" s="45">
        <f t="shared" si="11"/>
        <v>58.320000000000007</v>
      </c>
      <c r="AL307" s="68">
        <v>6</v>
      </c>
      <c r="AM307" s="68">
        <v>120</v>
      </c>
    </row>
    <row r="308" spans="1:39" x14ac:dyDescent="0.2">
      <c r="A308" s="57" t="s">
        <v>2082</v>
      </c>
      <c r="B308" s="47">
        <v>46173</v>
      </c>
      <c r="C308" s="48"/>
      <c r="D308" s="48" t="s">
        <v>1515</v>
      </c>
      <c r="E308" s="49" t="s">
        <v>654</v>
      </c>
      <c r="F308" s="49" t="s">
        <v>655</v>
      </c>
      <c r="G308" s="47" t="e">
        <v>#N/A</v>
      </c>
      <c r="H308" s="47" t="s">
        <v>22</v>
      </c>
      <c r="I308" s="40" t="s">
        <v>651</v>
      </c>
      <c r="J308" s="40" t="s">
        <v>1721</v>
      </c>
      <c r="K308" s="40" t="s">
        <v>24</v>
      </c>
      <c r="L308" s="40" t="s">
        <v>656</v>
      </c>
      <c r="M308" s="11"/>
      <c r="N308" s="11"/>
      <c r="O308" s="50">
        <v>19.440000000000001</v>
      </c>
      <c r="R308" s="9">
        <f>IFERROR(VLOOKUP(E308,Sheet6!$A$2:$B$500,2,FALSE),0)</f>
        <v>1</v>
      </c>
      <c r="S308" s="41">
        <f>IFERROR(VLOOKUP(E308,Sheet6!$C$2:$D$35017,2,FALSE),0)</f>
        <v>45</v>
      </c>
      <c r="U308" s="9">
        <f>IFERROR(VLOOKUP(E308,Sheet2!$AA$1:$AB$975,2,FALSE),0)</f>
        <v>0</v>
      </c>
      <c r="V308" s="41">
        <f>IFERROR(VLOOKUP(E308,Sheet2!$AC$1:$AD$975,2,FALSE),0)</f>
        <v>0</v>
      </c>
      <c r="W308" s="42">
        <f>IFERROR(VLOOKUP(E308,Sheet2!$AE$1:$AF$975,2,FALSE),0)</f>
        <v>0</v>
      </c>
      <c r="X308" s="43">
        <f>IFERROR(VLOOKUP(E308,Sheet2!$AG$1:$AH$975,2,FALSE),0)</f>
        <v>0</v>
      </c>
      <c r="Z308" s="60">
        <f>IFERROR(VLOOKUP(F308,Sheet2!$AA$1:$AB$975,2,FALSE),0)</f>
        <v>1</v>
      </c>
      <c r="AA308" s="64">
        <f>IFERROR(VLOOKUP(F308,Sheet2!$AC$1:$AD$975,2,FALSE),0)</f>
        <v>44.99</v>
      </c>
      <c r="AB308" s="65">
        <f>IFERROR(VLOOKUP(F308,Sheet2!$AE$2:$AF$6539,2,FALSE),0)</f>
        <v>84</v>
      </c>
      <c r="AC308" s="43">
        <f>IFERROR(VLOOKUP(F308,Sheet2!$AG$2:$AH$6539,2,FALSE),0)</f>
        <v>0.1111</v>
      </c>
      <c r="AE308" s="112">
        <v>57</v>
      </c>
      <c r="AF308" s="9">
        <v>0</v>
      </c>
      <c r="AG308" s="9">
        <v>0</v>
      </c>
      <c r="AH308" s="9">
        <v>0</v>
      </c>
      <c r="AI308" s="9">
        <v>0</v>
      </c>
      <c r="AJ308" s="9">
        <f t="shared" si="10"/>
        <v>57</v>
      </c>
      <c r="AK308" s="45">
        <f t="shared" si="11"/>
        <v>1108.0800000000002</v>
      </c>
      <c r="AL308" s="68">
        <v>0</v>
      </c>
      <c r="AM308" s="68">
        <v>0</v>
      </c>
    </row>
    <row r="309" spans="1:39" x14ac:dyDescent="0.2">
      <c r="A309" s="57" t="s">
        <v>2082</v>
      </c>
      <c r="B309" s="47">
        <v>46173</v>
      </c>
      <c r="C309" s="48"/>
      <c r="D309" s="48" t="s">
        <v>1516</v>
      </c>
      <c r="E309" s="49" t="s">
        <v>657</v>
      </c>
      <c r="F309" s="49" t="s">
        <v>658</v>
      </c>
      <c r="G309" s="47" t="e">
        <v>#N/A</v>
      </c>
      <c r="H309" s="47" t="s">
        <v>22</v>
      </c>
      <c r="I309" s="40" t="s">
        <v>651</v>
      </c>
      <c r="J309" s="40" t="s">
        <v>1721</v>
      </c>
      <c r="K309" s="9" t="s">
        <v>41</v>
      </c>
      <c r="L309" s="40" t="s">
        <v>644</v>
      </c>
      <c r="M309" s="11"/>
      <c r="N309" s="11"/>
      <c r="O309" s="50">
        <v>19.440000000000001</v>
      </c>
      <c r="R309" s="9">
        <f>IFERROR(VLOOKUP(E309,Sheet6!$A$2:$B$500,2,FALSE),0)</f>
        <v>1</v>
      </c>
      <c r="S309" s="41">
        <f>IFERROR(VLOOKUP(E309,Sheet6!$C$2:$D$35017,2,FALSE),0)</f>
        <v>45</v>
      </c>
      <c r="U309" s="9">
        <f>IFERROR(VLOOKUP(E309,Sheet2!$AA$1:$AB$975,2,FALSE),0)</f>
        <v>15</v>
      </c>
      <c r="V309" s="41">
        <f>IFERROR(VLOOKUP(E309,Sheet2!$AC$1:$AD$975,2,FALSE),0)</f>
        <v>674.85</v>
      </c>
      <c r="W309" s="42">
        <f>IFERROR(VLOOKUP(E309,Sheet2!$AE$1:$AF$975,2,FALSE),0)</f>
        <v>62</v>
      </c>
      <c r="X309" s="43">
        <f>IFERROR(VLOOKUP(E309,Sheet2!$AG$1:$AH$975,2,FALSE),0)</f>
        <v>1</v>
      </c>
      <c r="Z309" s="60">
        <f>IFERROR(VLOOKUP(F309,Sheet2!$AA$1:$AB$975,2,FALSE),0)</f>
        <v>4</v>
      </c>
      <c r="AA309" s="64">
        <f>IFERROR(VLOOKUP(F309,Sheet2!$AC$1:$AD$975,2,FALSE),0)</f>
        <v>179.96</v>
      </c>
      <c r="AB309" s="65">
        <f>IFERROR(VLOOKUP(F309,Sheet2!$AE$2:$AF$6539,2,FALSE),0)</f>
        <v>62</v>
      </c>
      <c r="AC309" s="43">
        <f>IFERROR(VLOOKUP(F309,Sheet2!$AG$2:$AH$6539,2,FALSE),0)</f>
        <v>1</v>
      </c>
      <c r="AE309" s="112">
        <v>3</v>
      </c>
      <c r="AF309" s="9">
        <v>0</v>
      </c>
      <c r="AG309" s="9">
        <v>0</v>
      </c>
      <c r="AH309" s="9">
        <v>0</v>
      </c>
      <c r="AI309" s="9">
        <v>0</v>
      </c>
      <c r="AJ309" s="9">
        <f t="shared" si="10"/>
        <v>3</v>
      </c>
      <c r="AK309" s="45">
        <f t="shared" si="11"/>
        <v>58.320000000000007</v>
      </c>
      <c r="AL309" s="68">
        <v>18</v>
      </c>
      <c r="AM309" s="68">
        <v>0</v>
      </c>
    </row>
    <row r="310" spans="1:39" x14ac:dyDescent="0.2">
      <c r="A310" s="57" t="s">
        <v>2082</v>
      </c>
      <c r="B310" s="47">
        <v>46173</v>
      </c>
      <c r="C310" s="48"/>
      <c r="D310" s="48" t="s">
        <v>2008</v>
      </c>
      <c r="E310" s="49" t="s">
        <v>2006</v>
      </c>
      <c r="F310" s="49" t="s">
        <v>2009</v>
      </c>
      <c r="G310" s="47"/>
      <c r="H310" s="47"/>
      <c r="I310" s="40" t="s">
        <v>651</v>
      </c>
      <c r="J310" s="40" t="s">
        <v>1721</v>
      </c>
      <c r="K310" s="9" t="s">
        <v>41</v>
      </c>
      <c r="L310" s="40" t="s">
        <v>656</v>
      </c>
      <c r="M310" s="11"/>
      <c r="N310" s="11"/>
      <c r="O310" s="50">
        <v>19.440000000000001</v>
      </c>
      <c r="R310" s="9">
        <f>IFERROR(VLOOKUP(E310,Sheet6!$A$2:$B$500,2,FALSE),0)</f>
        <v>0</v>
      </c>
      <c r="S310" s="41">
        <f>IFERROR(VLOOKUP(E310,Sheet6!$C$2:$D$35017,2,FALSE),0)</f>
        <v>0</v>
      </c>
      <c r="U310" s="9">
        <f>IFERROR(VLOOKUP(E310,Sheet2!$AA$1:$AB$975,2,FALSE),0)</f>
        <v>0</v>
      </c>
      <c r="V310" s="41">
        <f>IFERROR(VLOOKUP(E310,Sheet2!$AC$1:$AD$975,2,FALSE),0)</f>
        <v>0</v>
      </c>
      <c r="W310" s="42">
        <f>IFERROR(VLOOKUP(E310,Sheet2!$AE$1:$AF$975,2,FALSE),0)</f>
        <v>0</v>
      </c>
      <c r="X310" s="43">
        <f>IFERROR(VLOOKUP(E310,Sheet2!$AG$1:$AH$975,2,FALSE),0)</f>
        <v>0</v>
      </c>
      <c r="Z310" s="60">
        <f>IFERROR(VLOOKUP(F310,Sheet2!$AA$1:$AB$975,2,FALSE),0)</f>
        <v>0</v>
      </c>
      <c r="AA310" s="64">
        <f>IFERROR(VLOOKUP(F310,Sheet2!$AC$1:$AD$975,2,FALSE),0)</f>
        <v>0</v>
      </c>
      <c r="AB310" s="65">
        <f>IFERROR(VLOOKUP(F310,Sheet2!$AE$2:$AF$6539,2,FALSE),0)</f>
        <v>0</v>
      </c>
      <c r="AC310" s="43">
        <f>IFERROR(VLOOKUP(F310,Sheet2!$AG$2:$AH$6539,2,FALSE),0)</f>
        <v>0</v>
      </c>
      <c r="AE310" s="112">
        <v>0</v>
      </c>
      <c r="AF310" s="9">
        <v>0</v>
      </c>
      <c r="AG310" s="9">
        <v>0</v>
      </c>
      <c r="AH310" s="9">
        <v>0</v>
      </c>
      <c r="AI310" s="9">
        <v>0</v>
      </c>
      <c r="AJ310" s="9"/>
      <c r="AK310" s="45"/>
      <c r="AL310" s="68">
        <v>6</v>
      </c>
      <c r="AM310" s="68">
        <v>6</v>
      </c>
    </row>
    <row r="311" spans="1:39" x14ac:dyDescent="0.2">
      <c r="A311" s="57" t="s">
        <v>2082</v>
      </c>
      <c r="B311" s="47">
        <v>46173</v>
      </c>
      <c r="C311" s="48"/>
      <c r="D311" s="48" t="s">
        <v>1798</v>
      </c>
      <c r="E311" s="49" t="s">
        <v>1782</v>
      </c>
      <c r="F311" s="40" t="s">
        <v>1763</v>
      </c>
      <c r="G311" s="47" t="e">
        <v>#N/A</v>
      </c>
      <c r="H311" s="47" t="s">
        <v>22</v>
      </c>
      <c r="I311" s="40" t="s">
        <v>651</v>
      </c>
      <c r="J311" s="40" t="s">
        <v>1721</v>
      </c>
      <c r="K311" s="9" t="s">
        <v>24</v>
      </c>
      <c r="L311" s="9" t="s">
        <v>29</v>
      </c>
      <c r="M311" s="11"/>
      <c r="N311" s="11"/>
      <c r="O311" s="50">
        <v>13.5</v>
      </c>
      <c r="R311" s="9">
        <f>IFERROR(VLOOKUP(E311,Sheet6!$A$2:$B$500,2,FALSE),0)</f>
        <v>1</v>
      </c>
      <c r="S311" s="41">
        <f>IFERROR(VLOOKUP(E311,Sheet6!$C$2:$D$35017,2,FALSE),0)</f>
        <v>45</v>
      </c>
      <c r="U311" s="9">
        <f>IFERROR(VLOOKUP(E311,Sheet2!$AA$1:$AB$975,2,FALSE),0)</f>
        <v>1</v>
      </c>
      <c r="V311" s="41">
        <f>IFERROR(VLOOKUP(E311,Sheet2!$AC$1:$AD$975,2,FALSE),0)</f>
        <v>44.99</v>
      </c>
      <c r="W311" s="42">
        <f>IFERROR(VLOOKUP(E311,Sheet2!$AE$1:$AF$975,2,FALSE),0)</f>
        <v>62</v>
      </c>
      <c r="X311" s="43">
        <f>IFERROR(VLOOKUP(E311,Sheet2!$AG$1:$AH$975,2,FALSE),0)</f>
        <v>1</v>
      </c>
      <c r="Z311" s="60">
        <f>IFERROR(VLOOKUP(F311,Sheet2!$AA$1:$AB$975,2,FALSE),0)</f>
        <v>4</v>
      </c>
      <c r="AA311" s="64">
        <f>IFERROR(VLOOKUP(F311,Sheet2!$AC$1:$AD$975,2,FALSE),0)</f>
        <v>180</v>
      </c>
      <c r="AB311" s="65">
        <f>IFERROR(VLOOKUP(F311,Sheet2!$AE$2:$AF$6539,2,FALSE),0)</f>
        <v>62</v>
      </c>
      <c r="AC311" s="43">
        <f>IFERROR(VLOOKUP(F311,Sheet2!$AG$2:$AH$6539,2,FALSE),0)</f>
        <v>1</v>
      </c>
      <c r="AE311" s="112">
        <v>1</v>
      </c>
      <c r="AF311" s="9">
        <v>9</v>
      </c>
      <c r="AG311" s="9">
        <v>0</v>
      </c>
      <c r="AH311" s="9">
        <v>0</v>
      </c>
      <c r="AI311" s="9">
        <v>9</v>
      </c>
      <c r="AJ311" s="9">
        <f t="shared" si="10"/>
        <v>10</v>
      </c>
      <c r="AK311" s="45">
        <f t="shared" si="11"/>
        <v>135</v>
      </c>
      <c r="AL311" s="68">
        <v>6</v>
      </c>
      <c r="AM311" s="68">
        <v>0</v>
      </c>
    </row>
    <row r="312" spans="1:39" x14ac:dyDescent="0.2">
      <c r="A312" s="57" t="s">
        <v>2082</v>
      </c>
      <c r="B312" s="47">
        <v>46173</v>
      </c>
      <c r="C312" s="48"/>
      <c r="D312" s="48" t="s">
        <v>1799</v>
      </c>
      <c r="E312" s="49" t="s">
        <v>1717</v>
      </c>
      <c r="F312" s="40" t="s">
        <v>1764</v>
      </c>
      <c r="G312" s="47" t="e">
        <v>#N/A</v>
      </c>
      <c r="H312" s="47" t="s">
        <v>22</v>
      </c>
      <c r="I312" s="40" t="s">
        <v>651</v>
      </c>
      <c r="J312" s="40" t="s">
        <v>1721</v>
      </c>
      <c r="K312" s="9" t="s">
        <v>41</v>
      </c>
      <c r="L312" s="9" t="s">
        <v>32</v>
      </c>
      <c r="M312" s="11"/>
      <c r="N312" s="11"/>
      <c r="O312" s="50">
        <v>13.5</v>
      </c>
      <c r="R312" s="9">
        <f>IFERROR(VLOOKUP(E312,Sheet6!$A$2:$B$500,2,FALSE),0)</f>
        <v>0</v>
      </c>
      <c r="S312" s="41">
        <f>IFERROR(VLOOKUP(E312,Sheet6!$C$2:$D$35017,2,FALSE),0)</f>
        <v>0</v>
      </c>
      <c r="U312" s="9">
        <f>IFERROR(VLOOKUP(E312,Sheet2!$AA$1:$AB$975,2,FALSE),0)</f>
        <v>0</v>
      </c>
      <c r="V312" s="41">
        <f>IFERROR(VLOOKUP(E312,Sheet2!$AC$1:$AD$975,2,FALSE),0)</f>
        <v>0</v>
      </c>
      <c r="W312" s="42">
        <f>IFERROR(VLOOKUP(E312,Sheet2!$AE$1:$AF$975,2,FALSE),0)</f>
        <v>0</v>
      </c>
      <c r="X312" s="43">
        <f>IFERROR(VLOOKUP(E312,Sheet2!$AG$1:$AH$975,2,FALSE),0)</f>
        <v>0</v>
      </c>
      <c r="Z312" s="60">
        <f>IFERROR(VLOOKUP(F312,Sheet2!$AA$1:$AB$975,2,FALSE),0)</f>
        <v>2</v>
      </c>
      <c r="AA312" s="64">
        <f>IFERROR(VLOOKUP(F312,Sheet2!$AC$1:$AD$975,2,FALSE),0)</f>
        <v>90</v>
      </c>
      <c r="AB312" s="65">
        <f>IFERROR(VLOOKUP(F312,Sheet2!$AE$2:$AF$6539,2,FALSE),0)</f>
        <v>8</v>
      </c>
      <c r="AC312" s="43">
        <f>IFERROR(VLOOKUP(F312,Sheet2!$AG$2:$AH$6539,2,FALSE),0)</f>
        <v>1</v>
      </c>
      <c r="AE312" s="112">
        <v>0</v>
      </c>
      <c r="AF312" s="9">
        <v>0</v>
      </c>
      <c r="AG312" s="9">
        <v>0</v>
      </c>
      <c r="AH312" s="9">
        <v>22</v>
      </c>
      <c r="AI312" s="9">
        <v>22</v>
      </c>
      <c r="AJ312" s="9">
        <f t="shared" si="10"/>
        <v>22</v>
      </c>
      <c r="AK312" s="45">
        <f t="shared" si="11"/>
        <v>297</v>
      </c>
      <c r="AL312" s="68">
        <v>0</v>
      </c>
      <c r="AM312" s="68">
        <v>0</v>
      </c>
    </row>
    <row r="313" spans="1:39" x14ac:dyDescent="0.2">
      <c r="A313" s="57" t="s">
        <v>2082</v>
      </c>
      <c r="B313" s="47">
        <v>46173</v>
      </c>
      <c r="C313" s="108"/>
      <c r="D313" s="48" t="s">
        <v>1517</v>
      </c>
      <c r="E313" s="49" t="s">
        <v>659</v>
      </c>
      <c r="F313" s="49" t="s">
        <v>660</v>
      </c>
      <c r="G313" s="47" t="e">
        <v>#N/A</v>
      </c>
      <c r="H313" s="47" t="s">
        <v>22</v>
      </c>
      <c r="I313" s="40" t="s">
        <v>661</v>
      </c>
      <c r="J313" s="40" t="s">
        <v>1829</v>
      </c>
      <c r="K313" s="9" t="s">
        <v>24</v>
      </c>
      <c r="L313" s="40" t="s">
        <v>662</v>
      </c>
      <c r="M313" s="11"/>
      <c r="N313" s="11"/>
      <c r="O313" s="50">
        <v>19.440000000000001</v>
      </c>
      <c r="R313" s="9">
        <f>IFERROR(VLOOKUP(E313,Sheet6!$A$2:$B$500,2,FALSE),0)</f>
        <v>0</v>
      </c>
      <c r="S313" s="41">
        <f>IFERROR(VLOOKUP(E313,Sheet6!$C$2:$D$35017,2,FALSE),0)</f>
        <v>0</v>
      </c>
      <c r="U313" s="9">
        <f>IFERROR(VLOOKUP(E313,Sheet2!$AA$1:$AB$975,2,FALSE),0)</f>
        <v>0</v>
      </c>
      <c r="V313" s="41">
        <f>IFERROR(VLOOKUP(E313,Sheet2!$AC$1:$AD$975,2,FALSE),0)</f>
        <v>0</v>
      </c>
      <c r="W313" s="42">
        <f>IFERROR(VLOOKUP(E313,Sheet2!$AE$1:$AF$975,2,FALSE),0)</f>
        <v>0</v>
      </c>
      <c r="X313" s="43">
        <f>IFERROR(VLOOKUP(E313,Sheet2!$AG$1:$AH$975,2,FALSE),0)</f>
        <v>0</v>
      </c>
      <c r="Z313" s="60">
        <f>IFERROR(VLOOKUP(F313,Sheet2!$AA$1:$AB$975,2,FALSE),0)</f>
        <v>0</v>
      </c>
      <c r="AA313" s="64">
        <f>IFERROR(VLOOKUP(F313,Sheet2!$AC$1:$AD$975,2,FALSE),0)</f>
        <v>0</v>
      </c>
      <c r="AB313" s="65">
        <f>IFERROR(VLOOKUP(F313,Sheet2!$AE$2:$AF$6539,2,FALSE),0)</f>
        <v>0</v>
      </c>
      <c r="AC313" s="43">
        <f>IFERROR(VLOOKUP(F313,Sheet2!$AG$2:$AH$6539,2,FALSE),0)</f>
        <v>0</v>
      </c>
      <c r="AE313" s="112">
        <v>0</v>
      </c>
      <c r="AF313" s="9">
        <v>1</v>
      </c>
      <c r="AG313" s="9">
        <v>0</v>
      </c>
      <c r="AH313" s="9">
        <v>0</v>
      </c>
      <c r="AI313" s="9">
        <v>1</v>
      </c>
      <c r="AJ313" s="9">
        <f t="shared" si="10"/>
        <v>1</v>
      </c>
      <c r="AK313" s="45">
        <f t="shared" si="11"/>
        <v>19.440000000000001</v>
      </c>
      <c r="AL313" s="68">
        <v>0</v>
      </c>
      <c r="AM313" s="68">
        <v>0</v>
      </c>
    </row>
    <row r="314" spans="1:39" x14ac:dyDescent="0.2">
      <c r="A314" s="57" t="s">
        <v>2082</v>
      </c>
      <c r="B314" s="47">
        <v>46173</v>
      </c>
      <c r="C314" s="48"/>
      <c r="D314" s="48" t="s">
        <v>1518</v>
      </c>
      <c r="E314" s="49" t="s">
        <v>663</v>
      </c>
      <c r="F314" s="49" t="s">
        <v>664</v>
      </c>
      <c r="G314" s="47" t="e">
        <v>#N/A</v>
      </c>
      <c r="H314" s="47" t="s">
        <v>22</v>
      </c>
      <c r="I314" s="40" t="s">
        <v>665</v>
      </c>
      <c r="J314" s="40" t="s">
        <v>1735</v>
      </c>
      <c r="K314" s="40" t="s">
        <v>24</v>
      </c>
      <c r="L314" s="40">
        <v>10</v>
      </c>
      <c r="M314" s="11"/>
      <c r="N314" s="11"/>
      <c r="O314" s="50">
        <v>23.328000000000003</v>
      </c>
      <c r="R314" s="9">
        <f>IFERROR(VLOOKUP(E314,Sheet6!$A$2:$B$500,2,FALSE),0)</f>
        <v>0</v>
      </c>
      <c r="S314" s="41">
        <f>IFERROR(VLOOKUP(E314,Sheet6!$C$2:$D$35017,2,FALSE),0)</f>
        <v>0</v>
      </c>
      <c r="U314" s="9">
        <f>IFERROR(VLOOKUP(E314,Sheet2!$AA$1:$AB$975,2,FALSE),0)</f>
        <v>0</v>
      </c>
      <c r="V314" s="41">
        <f>IFERROR(VLOOKUP(E314,Sheet2!$AC$1:$AD$975,2,FALSE),0)</f>
        <v>0</v>
      </c>
      <c r="W314" s="42">
        <f>IFERROR(VLOOKUP(E314,Sheet2!$AE$1:$AF$975,2,FALSE),0)</f>
        <v>0</v>
      </c>
      <c r="X314" s="43">
        <f>IFERROR(VLOOKUP(E314,Sheet2!$AG$1:$AH$975,2,FALSE),0)</f>
        <v>0</v>
      </c>
      <c r="Z314" s="60">
        <f>IFERROR(VLOOKUP(F314,Sheet2!$AA$1:$AB$975,2,FALSE),0)</f>
        <v>0</v>
      </c>
      <c r="AA314" s="64">
        <f>IFERROR(VLOOKUP(F314,Sheet2!$AC$1:$AD$975,2,FALSE),0)</f>
        <v>0</v>
      </c>
      <c r="AB314" s="65">
        <f>IFERROR(VLOOKUP(F314,Sheet2!$AE$2:$AF$6539,2,FALSE),0)</f>
        <v>0</v>
      </c>
      <c r="AC314" s="43">
        <f>IFERROR(VLOOKUP(F314,Sheet2!$AG$2:$AH$6539,2,FALSE),0)</f>
        <v>0</v>
      </c>
      <c r="AE314" s="112">
        <v>20</v>
      </c>
      <c r="AF314" s="9">
        <v>8</v>
      </c>
      <c r="AG314" s="9">
        <v>0</v>
      </c>
      <c r="AH314" s="9">
        <v>0</v>
      </c>
      <c r="AI314" s="9">
        <v>8</v>
      </c>
      <c r="AJ314" s="9">
        <f t="shared" si="10"/>
        <v>28</v>
      </c>
      <c r="AK314" s="45">
        <f t="shared" si="11"/>
        <v>653.18400000000008</v>
      </c>
      <c r="AL314" s="68">
        <v>0</v>
      </c>
      <c r="AM314" s="68">
        <v>0</v>
      </c>
    </row>
    <row r="315" spans="1:39" x14ac:dyDescent="0.2">
      <c r="A315" s="57" t="s">
        <v>2082</v>
      </c>
      <c r="B315" s="47">
        <v>46173</v>
      </c>
      <c r="C315" s="48"/>
      <c r="D315" s="48" t="s">
        <v>1519</v>
      </c>
      <c r="E315" s="49" t="s">
        <v>666</v>
      </c>
      <c r="F315" s="49" t="s">
        <v>667</v>
      </c>
      <c r="G315" s="47" t="e">
        <v>#N/A</v>
      </c>
      <c r="H315" s="47" t="s">
        <v>22</v>
      </c>
      <c r="I315" s="40" t="s">
        <v>665</v>
      </c>
      <c r="J315" s="40" t="s">
        <v>1735</v>
      </c>
      <c r="K315" s="40" t="s">
        <v>24</v>
      </c>
      <c r="L315" s="40">
        <v>11</v>
      </c>
      <c r="M315" s="11"/>
      <c r="N315" s="11"/>
      <c r="O315" s="50">
        <v>23.328000000000003</v>
      </c>
      <c r="R315" s="9">
        <f>IFERROR(VLOOKUP(E315,Sheet6!$A$2:$B$500,2,FALSE),0)</f>
        <v>0</v>
      </c>
      <c r="S315" s="41">
        <f>IFERROR(VLOOKUP(E315,Sheet6!$C$2:$D$35017,2,FALSE),0)</f>
        <v>0</v>
      </c>
      <c r="U315" s="9">
        <f>IFERROR(VLOOKUP(E315,Sheet2!$AA$1:$AB$975,2,FALSE),0)</f>
        <v>0</v>
      </c>
      <c r="V315" s="41">
        <f>IFERROR(VLOOKUP(E315,Sheet2!$AC$1:$AD$975,2,FALSE),0)</f>
        <v>0</v>
      </c>
      <c r="W315" s="42">
        <f>IFERROR(VLOOKUP(E315,Sheet2!$AE$1:$AF$975,2,FALSE),0)</f>
        <v>0</v>
      </c>
      <c r="X315" s="43">
        <f>IFERROR(VLOOKUP(E315,Sheet2!$AG$1:$AH$975,2,FALSE),0)</f>
        <v>0</v>
      </c>
      <c r="Z315" s="60">
        <f>IFERROR(VLOOKUP(F315,Sheet2!$AA$1:$AB$975,2,FALSE),0)</f>
        <v>0</v>
      </c>
      <c r="AA315" s="64">
        <f>IFERROR(VLOOKUP(F315,Sheet2!$AC$1:$AD$975,2,FALSE),0)</f>
        <v>0</v>
      </c>
      <c r="AB315" s="65">
        <f>IFERROR(VLOOKUP(F315,Sheet2!$AE$2:$AF$6539,2,FALSE),0)</f>
        <v>0</v>
      </c>
      <c r="AC315" s="43">
        <f>IFERROR(VLOOKUP(F315,Sheet2!$AG$2:$AH$6539,2,FALSE),0)</f>
        <v>0</v>
      </c>
      <c r="AE315" s="112">
        <v>3</v>
      </c>
      <c r="AF315" s="9">
        <v>12</v>
      </c>
      <c r="AG315" s="9">
        <v>0</v>
      </c>
      <c r="AH315" s="9">
        <v>0</v>
      </c>
      <c r="AI315" s="9">
        <v>12</v>
      </c>
      <c r="AJ315" s="9">
        <f t="shared" si="10"/>
        <v>15</v>
      </c>
      <c r="AK315" s="45">
        <f t="shared" si="11"/>
        <v>349.92000000000007</v>
      </c>
      <c r="AL315" s="68">
        <v>0</v>
      </c>
      <c r="AM315" s="68">
        <v>0</v>
      </c>
    </row>
    <row r="316" spans="1:39" x14ac:dyDescent="0.2">
      <c r="A316" s="57" t="s">
        <v>2082</v>
      </c>
      <c r="B316" s="47">
        <v>46173</v>
      </c>
      <c r="C316" s="48"/>
      <c r="D316" s="48" t="s">
        <v>1520</v>
      </c>
      <c r="E316" s="49" t="s">
        <v>668</v>
      </c>
      <c r="F316" s="49" t="s">
        <v>669</v>
      </c>
      <c r="G316" s="47" t="e">
        <v>#N/A</v>
      </c>
      <c r="H316" s="47" t="s">
        <v>22</v>
      </c>
      <c r="I316" s="40" t="s">
        <v>665</v>
      </c>
      <c r="J316" s="40" t="s">
        <v>1735</v>
      </c>
      <c r="K316" s="40" t="s">
        <v>24</v>
      </c>
      <c r="L316" s="40">
        <v>12</v>
      </c>
      <c r="M316" s="11"/>
      <c r="N316" s="11"/>
      <c r="O316" s="50">
        <v>23.328000000000003</v>
      </c>
      <c r="R316" s="9">
        <f>IFERROR(VLOOKUP(E316,Sheet6!$A$2:$B$500,2,FALSE),0)</f>
        <v>0</v>
      </c>
      <c r="S316" s="41">
        <f>IFERROR(VLOOKUP(E316,Sheet6!$C$2:$D$35017,2,FALSE),0)</f>
        <v>0</v>
      </c>
      <c r="U316" s="9">
        <f>IFERROR(VLOOKUP(E316,Sheet2!$AA$1:$AB$975,2,FALSE),0)</f>
        <v>2</v>
      </c>
      <c r="V316" s="41">
        <f>IFERROR(VLOOKUP(E316,Sheet2!$AC$1:$AD$975,2,FALSE),0)</f>
        <v>107.98</v>
      </c>
      <c r="W316" s="42">
        <f>IFERROR(VLOOKUP(E316,Sheet2!$AE$1:$AF$975,2,FALSE),0)</f>
        <v>38</v>
      </c>
      <c r="X316" s="43">
        <f>IFERROR(VLOOKUP(E316,Sheet2!$AG$1:$AH$975,2,FALSE),0)</f>
        <v>1</v>
      </c>
      <c r="Z316" s="60">
        <f>IFERROR(VLOOKUP(F316,Sheet2!$AA$1:$AB$975,2,FALSE),0)</f>
        <v>1</v>
      </c>
      <c r="AA316" s="64">
        <f>IFERROR(VLOOKUP(F316,Sheet2!$AC$1:$AD$975,2,FALSE),0)</f>
        <v>53.99</v>
      </c>
      <c r="AB316" s="65">
        <f>IFERROR(VLOOKUP(F316,Sheet2!$AE$2:$AF$6539,2,FALSE),0)</f>
        <v>38</v>
      </c>
      <c r="AC316" s="43">
        <f>IFERROR(VLOOKUP(F316,Sheet2!$AG$2:$AH$6539,2,FALSE),0)</f>
        <v>1</v>
      </c>
      <c r="AE316" s="112">
        <v>7</v>
      </c>
      <c r="AF316" s="9">
        <v>0</v>
      </c>
      <c r="AG316" s="9">
        <v>0</v>
      </c>
      <c r="AH316" s="9">
        <v>0</v>
      </c>
      <c r="AI316" s="9">
        <v>0</v>
      </c>
      <c r="AJ316" s="9">
        <f t="shared" si="10"/>
        <v>7</v>
      </c>
      <c r="AK316" s="45">
        <f t="shared" si="11"/>
        <v>163.29600000000002</v>
      </c>
      <c r="AL316" s="68">
        <v>6</v>
      </c>
      <c r="AM316" s="68">
        <v>0</v>
      </c>
    </row>
    <row r="317" spans="1:39" x14ac:dyDescent="0.2">
      <c r="A317" s="57" t="s">
        <v>2082</v>
      </c>
      <c r="B317" s="47">
        <v>46173</v>
      </c>
      <c r="C317" s="108"/>
      <c r="D317" s="48" t="s">
        <v>1521</v>
      </c>
      <c r="E317" s="49" t="s">
        <v>670</v>
      </c>
      <c r="F317" s="49" t="s">
        <v>671</v>
      </c>
      <c r="G317" s="47" t="e">
        <v>#N/A</v>
      </c>
      <c r="H317" s="47" t="s">
        <v>22</v>
      </c>
      <c r="I317" s="40" t="s">
        <v>665</v>
      </c>
      <c r="J317" s="40" t="s">
        <v>1735</v>
      </c>
      <c r="K317" s="40" t="s">
        <v>24</v>
      </c>
      <c r="L317" s="40">
        <v>13</v>
      </c>
      <c r="M317" s="11"/>
      <c r="N317" s="11"/>
      <c r="O317" s="50">
        <v>23.328000000000003</v>
      </c>
      <c r="R317" s="9">
        <f>IFERROR(VLOOKUP(E317,Sheet6!$A$2:$B$500,2,FALSE),0)</f>
        <v>0</v>
      </c>
      <c r="S317" s="41">
        <f>IFERROR(VLOOKUP(E317,Sheet6!$C$2:$D$35017,2,FALSE),0)</f>
        <v>0</v>
      </c>
      <c r="U317" s="9">
        <f>IFERROR(VLOOKUP(E317,Sheet2!$AA$1:$AB$975,2,FALSE),0)</f>
        <v>0</v>
      </c>
      <c r="V317" s="41">
        <f>IFERROR(VLOOKUP(E317,Sheet2!$AC$1:$AD$975,2,FALSE),0)</f>
        <v>0</v>
      </c>
      <c r="W317" s="42">
        <f>IFERROR(VLOOKUP(E317,Sheet2!$AE$1:$AF$975,2,FALSE),0)</f>
        <v>0</v>
      </c>
      <c r="X317" s="43">
        <f>IFERROR(VLOOKUP(E317,Sheet2!$AG$1:$AH$975,2,FALSE),0)</f>
        <v>0</v>
      </c>
      <c r="Z317" s="60">
        <f>IFERROR(VLOOKUP(F317,Sheet2!$AA$1:$AB$975,2,FALSE),0)</f>
        <v>0</v>
      </c>
      <c r="AA317" s="64">
        <f>IFERROR(VLOOKUP(F317,Sheet2!$AC$1:$AD$975,2,FALSE),0)</f>
        <v>0</v>
      </c>
      <c r="AB317" s="65">
        <f>IFERROR(VLOOKUP(F317,Sheet2!$AE$2:$AF$6539,2,FALSE),0)</f>
        <v>0</v>
      </c>
      <c r="AC317" s="43">
        <f>IFERROR(VLOOKUP(F317,Sheet2!$AG$2:$AH$6539,2,FALSE),0)</f>
        <v>0</v>
      </c>
      <c r="AE317" s="112">
        <v>0</v>
      </c>
      <c r="AF317" s="9">
        <v>0</v>
      </c>
      <c r="AG317" s="9">
        <v>0</v>
      </c>
      <c r="AH317" s="9">
        <v>0</v>
      </c>
      <c r="AI317" s="9">
        <v>0</v>
      </c>
      <c r="AJ317" s="9">
        <f t="shared" si="10"/>
        <v>0</v>
      </c>
      <c r="AK317" s="45">
        <f t="shared" si="11"/>
        <v>0</v>
      </c>
      <c r="AL317" s="68">
        <v>0</v>
      </c>
      <c r="AM317" s="68">
        <v>0</v>
      </c>
    </row>
    <row r="318" spans="1:39" x14ac:dyDescent="0.2">
      <c r="A318" s="57" t="s">
        <v>2082</v>
      </c>
      <c r="B318" s="47">
        <v>46173</v>
      </c>
      <c r="C318" s="48"/>
      <c r="D318" s="48" t="s">
        <v>1522</v>
      </c>
      <c r="E318" s="49" t="s">
        <v>672</v>
      </c>
      <c r="F318" s="49" t="s">
        <v>673</v>
      </c>
      <c r="G318" s="47" t="e">
        <v>#N/A</v>
      </c>
      <c r="H318" s="47" t="s">
        <v>22</v>
      </c>
      <c r="I318" s="40" t="s">
        <v>674</v>
      </c>
      <c r="J318" s="40" t="s">
        <v>1746</v>
      </c>
      <c r="K318" s="40" t="s">
        <v>24</v>
      </c>
      <c r="L318" s="40" t="s">
        <v>637</v>
      </c>
      <c r="M318" s="11"/>
      <c r="N318" s="11"/>
      <c r="O318" s="50">
        <v>18.144000000000002</v>
      </c>
      <c r="R318" s="9">
        <f>IFERROR(VLOOKUP(E318,Sheet6!$A$2:$B$500,2,FALSE),0)</f>
        <v>0</v>
      </c>
      <c r="S318" s="41">
        <f>IFERROR(VLOOKUP(E318,Sheet6!$C$2:$D$35017,2,FALSE),0)</f>
        <v>0</v>
      </c>
      <c r="U318" s="9">
        <f>IFERROR(VLOOKUP(E318,Sheet2!$AA$1:$AB$975,2,FALSE),0)</f>
        <v>5</v>
      </c>
      <c r="V318" s="41">
        <f>IFERROR(VLOOKUP(E318,Sheet2!$AC$1:$AD$975,2,FALSE),0)</f>
        <v>209.95</v>
      </c>
      <c r="W318" s="42">
        <f>IFERROR(VLOOKUP(E318,Sheet2!$AE$1:$AF$975,2,FALSE),0)</f>
        <v>145</v>
      </c>
      <c r="X318" s="43">
        <f>IFERROR(VLOOKUP(E318,Sheet2!$AG$1:$AH$975,2,FALSE),0)</f>
        <v>1</v>
      </c>
      <c r="Z318" s="60">
        <f>IFERROR(VLOOKUP(F318,Sheet2!$AA$1:$AB$975,2,FALSE),0)</f>
        <v>0</v>
      </c>
      <c r="AA318" s="64">
        <f>IFERROR(VLOOKUP(F318,Sheet2!$AC$1:$AD$975,2,FALSE),0)</f>
        <v>0</v>
      </c>
      <c r="AB318" s="65">
        <f>IFERROR(VLOOKUP(F318,Sheet2!$AE$2:$AF$6539,2,FALSE),0)</f>
        <v>0</v>
      </c>
      <c r="AC318" s="43">
        <f>IFERROR(VLOOKUP(F318,Sheet2!$AG$2:$AH$6539,2,FALSE),0)</f>
        <v>0</v>
      </c>
      <c r="AE318" s="112">
        <v>17</v>
      </c>
      <c r="AF318" s="9">
        <v>0</v>
      </c>
      <c r="AG318" s="9">
        <v>11</v>
      </c>
      <c r="AH318" s="9">
        <v>0</v>
      </c>
      <c r="AI318" s="9">
        <v>11</v>
      </c>
      <c r="AJ318" s="9">
        <f t="shared" si="10"/>
        <v>28</v>
      </c>
      <c r="AK318" s="45">
        <f t="shared" si="11"/>
        <v>508.03200000000004</v>
      </c>
      <c r="AL318" s="68">
        <v>0</v>
      </c>
      <c r="AM318" s="68">
        <v>0</v>
      </c>
    </row>
    <row r="319" spans="1:39" x14ac:dyDescent="0.2">
      <c r="A319" s="57" t="s">
        <v>2082</v>
      </c>
      <c r="B319" s="47">
        <v>46173</v>
      </c>
      <c r="C319" s="108"/>
      <c r="D319" s="48" t="s">
        <v>1523</v>
      </c>
      <c r="E319" s="49" t="s">
        <v>675</v>
      </c>
      <c r="F319" s="49" t="s">
        <v>676</v>
      </c>
      <c r="G319" s="47" t="e">
        <v>#N/A</v>
      </c>
      <c r="H319" s="47" t="s">
        <v>22</v>
      </c>
      <c r="I319" s="40" t="s">
        <v>674</v>
      </c>
      <c r="J319" s="40" t="s">
        <v>1746</v>
      </c>
      <c r="K319" s="40" t="s">
        <v>24</v>
      </c>
      <c r="L319" s="40" t="s">
        <v>644</v>
      </c>
      <c r="M319" s="11"/>
      <c r="N319" s="11"/>
      <c r="O319" s="50">
        <v>18.144000000000002</v>
      </c>
      <c r="R319" s="9">
        <f>IFERROR(VLOOKUP(E319,Sheet6!$A$2:$B$500,2,FALSE),0)</f>
        <v>0</v>
      </c>
      <c r="S319" s="41">
        <f>IFERROR(VLOOKUP(E319,Sheet6!$C$2:$D$35017,2,FALSE),0)</f>
        <v>0</v>
      </c>
      <c r="U319" s="9">
        <f>IFERROR(VLOOKUP(E319,Sheet2!$AA$1:$AB$975,2,FALSE),0)</f>
        <v>0</v>
      </c>
      <c r="V319" s="41">
        <f>IFERROR(VLOOKUP(E319,Sheet2!$AC$1:$AD$975,2,FALSE),0)</f>
        <v>0</v>
      </c>
      <c r="W319" s="42">
        <f>IFERROR(VLOOKUP(E319,Sheet2!$AE$1:$AF$975,2,FALSE),0)</f>
        <v>0</v>
      </c>
      <c r="X319" s="43">
        <f>IFERROR(VLOOKUP(E319,Sheet2!$AG$1:$AH$975,2,FALSE),0)</f>
        <v>0</v>
      </c>
      <c r="Z319" s="60">
        <f>IFERROR(VLOOKUP(F319,Sheet2!$AA$1:$AB$975,2,FALSE),0)</f>
        <v>0</v>
      </c>
      <c r="AA319" s="64">
        <f>IFERROR(VLOOKUP(F319,Sheet2!$AC$1:$AD$975,2,FALSE),0)</f>
        <v>0</v>
      </c>
      <c r="AB319" s="65">
        <f>IFERROR(VLOOKUP(F319,Sheet2!$AE$2:$AF$6539,2,FALSE),0)</f>
        <v>0</v>
      </c>
      <c r="AC319" s="43">
        <f>IFERROR(VLOOKUP(F319,Sheet2!$AG$2:$AH$6539,2,FALSE),0)</f>
        <v>0</v>
      </c>
      <c r="AE319" s="112">
        <v>0</v>
      </c>
      <c r="AF319" s="9">
        <v>0</v>
      </c>
      <c r="AG319" s="9">
        <v>0</v>
      </c>
      <c r="AH319" s="9">
        <v>0</v>
      </c>
      <c r="AI319" s="9">
        <v>0</v>
      </c>
      <c r="AJ319" s="9">
        <f t="shared" si="10"/>
        <v>0</v>
      </c>
      <c r="AK319" s="45">
        <f t="shared" si="11"/>
        <v>0</v>
      </c>
      <c r="AL319" s="68">
        <v>0</v>
      </c>
      <c r="AM319" s="68">
        <v>0</v>
      </c>
    </row>
    <row r="320" spans="1:39" x14ac:dyDescent="0.2">
      <c r="A320" s="57" t="s">
        <v>2082</v>
      </c>
      <c r="B320" s="47">
        <v>46173</v>
      </c>
      <c r="C320" s="48"/>
      <c r="D320" s="48" t="s">
        <v>1524</v>
      </c>
      <c r="E320" s="49" t="s">
        <v>677</v>
      </c>
      <c r="F320" s="49" t="s">
        <v>678</v>
      </c>
      <c r="G320" s="47" t="e">
        <v>#N/A</v>
      </c>
      <c r="H320" s="47" t="s">
        <v>22</v>
      </c>
      <c r="I320" s="40" t="s">
        <v>679</v>
      </c>
      <c r="J320" s="40" t="s">
        <v>1738</v>
      </c>
      <c r="K320" s="40" t="s">
        <v>24</v>
      </c>
      <c r="L320" s="40" t="s">
        <v>680</v>
      </c>
      <c r="M320" s="11"/>
      <c r="N320" s="11"/>
      <c r="O320" s="50">
        <v>16.2</v>
      </c>
      <c r="R320" s="9">
        <f>IFERROR(VLOOKUP(E320,Sheet6!$A$2:$B$500,2,FALSE),0)</f>
        <v>0</v>
      </c>
      <c r="S320" s="41">
        <f>IFERROR(VLOOKUP(E320,Sheet6!$C$2:$D$35017,2,FALSE),0)</f>
        <v>0</v>
      </c>
      <c r="U320" s="9">
        <f>IFERROR(VLOOKUP(E320,Sheet2!$AA$1:$AB$975,2,FALSE),0)</f>
        <v>0</v>
      </c>
      <c r="V320" s="41">
        <f>IFERROR(VLOOKUP(E320,Sheet2!$AC$1:$AD$975,2,FALSE),0)</f>
        <v>0</v>
      </c>
      <c r="W320" s="42">
        <f>IFERROR(VLOOKUP(E320,Sheet2!$AE$1:$AF$975,2,FALSE),0)</f>
        <v>0</v>
      </c>
      <c r="X320" s="43">
        <f>IFERROR(VLOOKUP(E320,Sheet2!$AG$1:$AH$975,2,FALSE),0)</f>
        <v>0</v>
      </c>
      <c r="Z320" s="60">
        <f>IFERROR(VLOOKUP(F320,Sheet2!$AA$1:$AB$975,2,FALSE),0)</f>
        <v>1</v>
      </c>
      <c r="AA320" s="64">
        <f>IFERROR(VLOOKUP(F320,Sheet2!$AC$1:$AD$975,2,FALSE),0)</f>
        <v>35.99</v>
      </c>
      <c r="AB320" s="65">
        <f>IFERROR(VLOOKUP(F320,Sheet2!$AE$2:$AF$6539,2,FALSE),0)</f>
        <v>62</v>
      </c>
      <c r="AC320" s="43">
        <f>IFERROR(VLOOKUP(F320,Sheet2!$AG$2:$AH$6539,2,FALSE),0)</f>
        <v>0.96550000000000002</v>
      </c>
      <c r="AE320" s="112">
        <v>15</v>
      </c>
      <c r="AF320" s="9">
        <v>24</v>
      </c>
      <c r="AG320" s="9">
        <v>0</v>
      </c>
      <c r="AH320" s="9">
        <v>0</v>
      </c>
      <c r="AI320" s="9">
        <v>24</v>
      </c>
      <c r="AJ320" s="9">
        <f t="shared" si="10"/>
        <v>39</v>
      </c>
      <c r="AK320" s="45">
        <f t="shared" si="11"/>
        <v>631.79999999999995</v>
      </c>
      <c r="AL320" s="68">
        <v>0</v>
      </c>
      <c r="AM320" s="68">
        <v>12</v>
      </c>
    </row>
    <row r="321" spans="1:39" x14ac:dyDescent="0.2">
      <c r="A321" s="57" t="s">
        <v>2082</v>
      </c>
      <c r="B321" s="47">
        <v>46173</v>
      </c>
      <c r="C321" s="48"/>
      <c r="D321" s="48" t="s">
        <v>1525</v>
      </c>
      <c r="E321" s="49" t="s">
        <v>681</v>
      </c>
      <c r="F321" s="49" t="s">
        <v>682</v>
      </c>
      <c r="G321" s="47" t="e">
        <v>#N/A</v>
      </c>
      <c r="H321" s="47" t="s">
        <v>22</v>
      </c>
      <c r="I321" s="40" t="s">
        <v>679</v>
      </c>
      <c r="J321" s="40" t="s">
        <v>1738</v>
      </c>
      <c r="K321" s="40" t="s">
        <v>24</v>
      </c>
      <c r="L321" s="40" t="s">
        <v>637</v>
      </c>
      <c r="M321" s="11"/>
      <c r="N321" s="11"/>
      <c r="O321" s="50">
        <v>16.2</v>
      </c>
      <c r="R321" s="9">
        <f>IFERROR(VLOOKUP(E321,Sheet6!$A$2:$B$500,2,FALSE),0)</f>
        <v>0</v>
      </c>
      <c r="S321" s="41">
        <f>IFERROR(VLOOKUP(E321,Sheet6!$C$2:$D$35017,2,FALSE),0)</f>
        <v>0</v>
      </c>
      <c r="U321" s="9">
        <f>IFERROR(VLOOKUP(E321,Sheet2!$AA$1:$AB$975,2,FALSE),0)</f>
        <v>0</v>
      </c>
      <c r="V321" s="41">
        <f>IFERROR(VLOOKUP(E321,Sheet2!$AC$1:$AD$975,2,FALSE),0)</f>
        <v>0</v>
      </c>
      <c r="W321" s="42">
        <f>IFERROR(VLOOKUP(E321,Sheet2!$AE$1:$AF$975,2,FALSE),0)</f>
        <v>0</v>
      </c>
      <c r="X321" s="43">
        <f>IFERROR(VLOOKUP(E321,Sheet2!$AG$1:$AH$975,2,FALSE),0)</f>
        <v>0</v>
      </c>
      <c r="Z321" s="60">
        <f>IFERROR(VLOOKUP(F321,Sheet2!$AA$1:$AB$975,2,FALSE),0)</f>
        <v>23</v>
      </c>
      <c r="AA321" s="64">
        <f>IFERROR(VLOOKUP(F321,Sheet2!$AC$1:$AD$975,2,FALSE),0)</f>
        <v>827.77</v>
      </c>
      <c r="AB321" s="65">
        <f>IFERROR(VLOOKUP(F321,Sheet2!$AE$2:$AF$6539,2,FALSE),0)</f>
        <v>141</v>
      </c>
      <c r="AC321" s="43">
        <f>IFERROR(VLOOKUP(F321,Sheet2!$AG$2:$AH$6539,2,FALSE),0)</f>
        <v>1</v>
      </c>
      <c r="AE321" s="112">
        <v>0</v>
      </c>
      <c r="AF321" s="9">
        <v>8</v>
      </c>
      <c r="AG321" s="9">
        <v>0</v>
      </c>
      <c r="AH321" s="9">
        <v>4</v>
      </c>
      <c r="AI321" s="9">
        <v>12</v>
      </c>
      <c r="AJ321" s="9">
        <f t="shared" si="10"/>
        <v>12</v>
      </c>
      <c r="AK321" s="45">
        <f t="shared" si="11"/>
        <v>194.39999999999998</v>
      </c>
      <c r="AL321" s="68">
        <v>60</v>
      </c>
      <c r="AM321" s="68">
        <v>0</v>
      </c>
    </row>
    <row r="322" spans="1:39" x14ac:dyDescent="0.2">
      <c r="A322" s="57" t="s">
        <v>2082</v>
      </c>
      <c r="B322" s="47">
        <v>46173</v>
      </c>
      <c r="C322" s="48"/>
      <c r="D322" s="48" t="s">
        <v>1526</v>
      </c>
      <c r="E322" s="49" t="s">
        <v>683</v>
      </c>
      <c r="F322" s="49" t="s">
        <v>684</v>
      </c>
      <c r="G322" s="47" t="e">
        <v>#N/A</v>
      </c>
      <c r="H322" s="47" t="s">
        <v>22</v>
      </c>
      <c r="I322" s="40" t="s">
        <v>679</v>
      </c>
      <c r="J322" s="40" t="s">
        <v>1738</v>
      </c>
      <c r="K322" s="40" t="s">
        <v>24</v>
      </c>
      <c r="L322" s="40" t="s">
        <v>644</v>
      </c>
      <c r="M322" s="11"/>
      <c r="N322" s="11"/>
      <c r="O322" s="50">
        <v>16.2</v>
      </c>
      <c r="R322" s="9">
        <f>IFERROR(VLOOKUP(E322,Sheet6!$A$2:$B$500,2,FALSE),0)</f>
        <v>3</v>
      </c>
      <c r="S322" s="41">
        <f>IFERROR(VLOOKUP(E322,Sheet6!$C$2:$D$35017,2,FALSE),0)</f>
        <v>108</v>
      </c>
      <c r="U322" s="9">
        <f>IFERROR(VLOOKUP(E322,Sheet2!$AA$1:$AB$975,2,FALSE),0)</f>
        <v>2</v>
      </c>
      <c r="V322" s="41">
        <f>IFERROR(VLOOKUP(E322,Sheet2!$AC$1:$AD$975,2,FALSE),0)</f>
        <v>71.98</v>
      </c>
      <c r="W322" s="42">
        <f>IFERROR(VLOOKUP(E322,Sheet2!$AE$1:$AF$975,2,FALSE),0)</f>
        <v>79</v>
      </c>
      <c r="X322" s="43">
        <f>IFERROR(VLOOKUP(E322,Sheet2!$AG$1:$AH$975,2,FALSE),0)</f>
        <v>1</v>
      </c>
      <c r="Z322" s="60">
        <f>IFERROR(VLOOKUP(F322,Sheet2!$AA$1:$AB$975,2,FALSE),0)</f>
        <v>16</v>
      </c>
      <c r="AA322" s="64">
        <f>IFERROR(VLOOKUP(F322,Sheet2!$AC$1:$AD$975,2,FALSE),0)</f>
        <v>575.84</v>
      </c>
      <c r="AB322" s="65">
        <f>IFERROR(VLOOKUP(F322,Sheet2!$AE$2:$AF$6539,2,FALSE),0)</f>
        <v>79</v>
      </c>
      <c r="AC322" s="43">
        <f>IFERROR(VLOOKUP(F322,Sheet2!$AG$2:$AH$6539,2,FALSE),0)</f>
        <v>1</v>
      </c>
      <c r="AE322" s="112">
        <v>0</v>
      </c>
      <c r="AF322" s="9">
        <v>0</v>
      </c>
      <c r="AG322" s="9">
        <v>0</v>
      </c>
      <c r="AH322" s="9">
        <v>0</v>
      </c>
      <c r="AI322" s="9">
        <v>0</v>
      </c>
      <c r="AJ322" s="9">
        <f t="shared" si="10"/>
        <v>0</v>
      </c>
      <c r="AK322" s="45">
        <f t="shared" si="11"/>
        <v>0</v>
      </c>
      <c r="AL322" s="68">
        <v>60</v>
      </c>
      <c r="AM322" s="68">
        <v>12</v>
      </c>
    </row>
    <row r="323" spans="1:39" x14ac:dyDescent="0.2">
      <c r="A323" s="57" t="s">
        <v>2082</v>
      </c>
      <c r="B323" s="47">
        <v>46173</v>
      </c>
      <c r="C323" s="48"/>
      <c r="D323" s="48" t="s">
        <v>1527</v>
      </c>
      <c r="E323" s="49" t="s">
        <v>685</v>
      </c>
      <c r="F323" s="49" t="s">
        <v>686</v>
      </c>
      <c r="G323" s="47" t="e">
        <v>#N/A</v>
      </c>
      <c r="H323" s="47" t="s">
        <v>22</v>
      </c>
      <c r="I323" s="40" t="s">
        <v>679</v>
      </c>
      <c r="J323" s="40" t="s">
        <v>1738</v>
      </c>
      <c r="K323" s="40" t="s">
        <v>24</v>
      </c>
      <c r="L323" s="40" t="s">
        <v>656</v>
      </c>
      <c r="M323" s="11"/>
      <c r="N323" s="11"/>
      <c r="O323" s="50">
        <v>16.2</v>
      </c>
      <c r="R323" s="9">
        <f>IFERROR(VLOOKUP(E323,Sheet6!$A$2:$B$500,2,FALSE),0)</f>
        <v>0</v>
      </c>
      <c r="S323" s="41">
        <f>IFERROR(VLOOKUP(E323,Sheet6!$C$2:$D$35017,2,FALSE),0)</f>
        <v>0</v>
      </c>
      <c r="U323" s="9">
        <f>IFERROR(VLOOKUP(E323,Sheet2!$AA$1:$AB$975,2,FALSE),0)</f>
        <v>3</v>
      </c>
      <c r="V323" s="41">
        <f>IFERROR(VLOOKUP(E323,Sheet2!$AC$1:$AD$975,2,FALSE),0)</f>
        <v>107.97</v>
      </c>
      <c r="W323" s="42">
        <f>IFERROR(VLOOKUP(E323,Sheet2!$AE$1:$AF$975,2,FALSE),0)</f>
        <v>85</v>
      </c>
      <c r="X323" s="43">
        <f>IFERROR(VLOOKUP(E323,Sheet2!$AG$1:$AH$975,2,FALSE),0)</f>
        <v>1</v>
      </c>
      <c r="Z323" s="60">
        <f>IFERROR(VLOOKUP(F323,Sheet2!$AA$1:$AB$975,2,FALSE),0)</f>
        <v>12</v>
      </c>
      <c r="AA323" s="64">
        <f>IFERROR(VLOOKUP(F323,Sheet2!$AC$1:$AD$975,2,FALSE),0)</f>
        <v>431.88</v>
      </c>
      <c r="AB323" s="65">
        <f>IFERROR(VLOOKUP(F323,Sheet2!$AE$2:$AF$6539,2,FALSE),0)</f>
        <v>85</v>
      </c>
      <c r="AC323" s="43">
        <f>IFERROR(VLOOKUP(F323,Sheet2!$AG$2:$AH$6539,2,FALSE),0)</f>
        <v>1</v>
      </c>
      <c r="AE323" s="112">
        <v>1</v>
      </c>
      <c r="AF323" s="9">
        <v>0</v>
      </c>
      <c r="AG323" s="9">
        <v>0</v>
      </c>
      <c r="AH323" s="9">
        <v>0</v>
      </c>
      <c r="AI323" s="9">
        <v>0</v>
      </c>
      <c r="AJ323" s="9">
        <f t="shared" si="10"/>
        <v>1</v>
      </c>
      <c r="AK323" s="45">
        <f t="shared" si="11"/>
        <v>16.2</v>
      </c>
      <c r="AL323" s="68">
        <v>12</v>
      </c>
      <c r="AM323" s="68">
        <v>0</v>
      </c>
    </row>
    <row r="324" spans="1:39" x14ac:dyDescent="0.2">
      <c r="A324" s="57" t="s">
        <v>2082</v>
      </c>
      <c r="B324" s="47">
        <v>46173</v>
      </c>
      <c r="C324" s="48"/>
      <c r="D324" s="48" t="s">
        <v>1528</v>
      </c>
      <c r="E324" s="49" t="s">
        <v>687</v>
      </c>
      <c r="F324" s="49" t="s">
        <v>688</v>
      </c>
      <c r="G324" s="47" t="e">
        <v>#N/A</v>
      </c>
      <c r="H324" s="47" t="s">
        <v>22</v>
      </c>
      <c r="I324" s="40" t="s">
        <v>689</v>
      </c>
      <c r="J324" s="40" t="s">
        <v>1848</v>
      </c>
      <c r="K324" s="40" t="s">
        <v>608</v>
      </c>
      <c r="L324" s="40" t="s">
        <v>637</v>
      </c>
      <c r="M324" s="11"/>
      <c r="N324" s="11"/>
      <c r="O324" s="50">
        <v>20.736000000000001</v>
      </c>
      <c r="R324" s="9">
        <f>IFERROR(VLOOKUP(E324,Sheet6!$A$2:$B$500,2,FALSE),0)</f>
        <v>0</v>
      </c>
      <c r="S324" s="41">
        <f>IFERROR(VLOOKUP(E324,Sheet6!$C$2:$D$35017,2,FALSE),0)</f>
        <v>0</v>
      </c>
      <c r="U324" s="9">
        <f>IFERROR(VLOOKUP(E324,Sheet2!$AA$1:$AB$975,2,FALSE),0)</f>
        <v>0</v>
      </c>
      <c r="V324" s="41">
        <f>IFERROR(VLOOKUP(E324,Sheet2!$AC$1:$AD$975,2,FALSE),0)</f>
        <v>0</v>
      </c>
      <c r="W324" s="42">
        <f>IFERROR(VLOOKUP(E324,Sheet2!$AE$1:$AF$975,2,FALSE),0)</f>
        <v>0</v>
      </c>
      <c r="X324" s="43">
        <f>IFERROR(VLOOKUP(E324,Sheet2!$AG$1:$AH$975,2,FALSE),0)</f>
        <v>0</v>
      </c>
      <c r="Z324" s="60">
        <f>IFERROR(VLOOKUP(F324,Sheet2!$AA$1:$AB$975,2,FALSE),0)</f>
        <v>2</v>
      </c>
      <c r="AA324" s="64">
        <f>IFERROR(VLOOKUP(F324,Sheet2!$AC$1:$AD$975,2,FALSE),0)</f>
        <v>95.98</v>
      </c>
      <c r="AB324" s="65">
        <f>IFERROR(VLOOKUP(F324,Sheet2!$AE$2:$AF$6539,2,FALSE),0)</f>
        <v>50</v>
      </c>
      <c r="AC324" s="43">
        <f>IFERROR(VLOOKUP(F324,Sheet2!$AG$2:$AH$6539,2,FALSE),0)</f>
        <v>0.1724</v>
      </c>
      <c r="AE324" s="112">
        <v>7</v>
      </c>
      <c r="AF324" s="9">
        <v>0</v>
      </c>
      <c r="AG324" s="9">
        <v>0</v>
      </c>
      <c r="AH324" s="9">
        <v>0</v>
      </c>
      <c r="AI324" s="9">
        <v>0</v>
      </c>
      <c r="AJ324" s="9">
        <f t="shared" si="10"/>
        <v>7</v>
      </c>
      <c r="AK324" s="45">
        <f t="shared" si="11"/>
        <v>145.15200000000002</v>
      </c>
      <c r="AL324" s="68">
        <v>0</v>
      </c>
      <c r="AM324" s="68">
        <v>0</v>
      </c>
    </row>
    <row r="325" spans="1:39" x14ac:dyDescent="0.2">
      <c r="A325" s="57" t="s">
        <v>2082</v>
      </c>
      <c r="B325" s="47">
        <v>46173</v>
      </c>
      <c r="C325" s="48"/>
      <c r="D325" s="48" t="s">
        <v>1529</v>
      </c>
      <c r="E325" s="49" t="s">
        <v>690</v>
      </c>
      <c r="F325" s="49" t="s">
        <v>691</v>
      </c>
      <c r="G325" s="47" t="e">
        <v>#N/A</v>
      </c>
      <c r="H325" s="47" t="s">
        <v>22</v>
      </c>
      <c r="I325" s="40" t="s">
        <v>689</v>
      </c>
      <c r="J325" s="40" t="s">
        <v>1848</v>
      </c>
      <c r="K325" s="40" t="s">
        <v>608</v>
      </c>
      <c r="L325" s="40" t="s">
        <v>644</v>
      </c>
      <c r="M325" s="11"/>
      <c r="N325" s="11"/>
      <c r="O325" s="50">
        <v>20.736000000000001</v>
      </c>
      <c r="R325" s="9">
        <f>IFERROR(VLOOKUP(E325,Sheet6!$A$2:$B$500,2,FALSE),0)</f>
        <v>0</v>
      </c>
      <c r="S325" s="41">
        <f>IFERROR(VLOOKUP(E325,Sheet6!$C$2:$D$35017,2,FALSE),0)</f>
        <v>0</v>
      </c>
      <c r="U325" s="9">
        <f>IFERROR(VLOOKUP(E325,Sheet2!$AA$1:$AB$975,2,FALSE),0)</f>
        <v>15</v>
      </c>
      <c r="V325" s="41">
        <f>IFERROR(VLOOKUP(E325,Sheet2!$AC$1:$AD$975,2,FALSE),0)</f>
        <v>719.85</v>
      </c>
      <c r="W325" s="42">
        <f>IFERROR(VLOOKUP(E325,Sheet2!$AE$1:$AF$975,2,FALSE),0)</f>
        <v>93</v>
      </c>
      <c r="X325" s="43">
        <f>IFERROR(VLOOKUP(E325,Sheet2!$AG$1:$AH$975,2,FALSE),0)</f>
        <v>0.9083</v>
      </c>
      <c r="Z325" s="60">
        <f>IFERROR(VLOOKUP(F325,Sheet2!$AA$1:$AB$975,2,FALSE),0)</f>
        <v>2</v>
      </c>
      <c r="AA325" s="64">
        <f>IFERROR(VLOOKUP(F325,Sheet2!$AC$1:$AD$975,2,FALSE),0)</f>
        <v>95.98</v>
      </c>
      <c r="AB325" s="65">
        <f>IFERROR(VLOOKUP(F325,Sheet2!$AE$2:$AF$6539,2,FALSE),0)</f>
        <v>19</v>
      </c>
      <c r="AC325" s="43">
        <f>IFERROR(VLOOKUP(F325,Sheet2!$AG$2:$AH$6539,2,FALSE),0)</f>
        <v>0.125</v>
      </c>
      <c r="AE325" s="112">
        <v>3</v>
      </c>
      <c r="AF325" s="9">
        <v>0</v>
      </c>
      <c r="AG325" s="9">
        <v>0</v>
      </c>
      <c r="AH325" s="9">
        <v>29</v>
      </c>
      <c r="AI325" s="9">
        <v>29</v>
      </c>
      <c r="AJ325" s="9">
        <f t="shared" ref="AJ325:AJ388" si="12">SUM(AE325+AI325)</f>
        <v>32</v>
      </c>
      <c r="AK325" s="45">
        <f t="shared" ref="AK325:AK388" si="13">SUM(AJ325*O325)</f>
        <v>663.55200000000002</v>
      </c>
      <c r="AL325" s="68">
        <v>0</v>
      </c>
      <c r="AM325" s="68">
        <v>6</v>
      </c>
    </row>
    <row r="326" spans="1:39" x14ac:dyDescent="0.2">
      <c r="A326" s="57" t="s">
        <v>2082</v>
      </c>
      <c r="B326" s="47">
        <v>46173</v>
      </c>
      <c r="C326" s="48"/>
      <c r="D326" s="48" t="s">
        <v>1530</v>
      </c>
      <c r="E326" s="49" t="s">
        <v>692</v>
      </c>
      <c r="F326" s="49" t="s">
        <v>693</v>
      </c>
      <c r="G326" s="47" t="e">
        <v>#N/A</v>
      </c>
      <c r="H326" s="47" t="s">
        <v>22</v>
      </c>
      <c r="I326" s="40" t="s">
        <v>689</v>
      </c>
      <c r="J326" s="40" t="s">
        <v>1848</v>
      </c>
      <c r="K326" s="40" t="s">
        <v>613</v>
      </c>
      <c r="L326" s="40" t="s">
        <v>637</v>
      </c>
      <c r="M326" s="11"/>
      <c r="N326" s="11"/>
      <c r="O326" s="50">
        <v>20.736000000000001</v>
      </c>
      <c r="R326" s="9">
        <f>IFERROR(VLOOKUP(E326,Sheet6!$A$2:$B$500,2,FALSE),0)</f>
        <v>2</v>
      </c>
      <c r="S326" s="41">
        <f>IFERROR(VLOOKUP(E326,Sheet6!$C$2:$D$35017,2,FALSE),0)</f>
        <v>96</v>
      </c>
      <c r="U326" s="9">
        <f>IFERROR(VLOOKUP(E326,Sheet2!$AA$1:$AB$975,2,FALSE),0)</f>
        <v>0</v>
      </c>
      <c r="V326" s="41">
        <f>IFERROR(VLOOKUP(E326,Sheet2!$AC$1:$AD$975,2,FALSE),0)</f>
        <v>0</v>
      </c>
      <c r="W326" s="42">
        <f>IFERROR(VLOOKUP(E326,Sheet2!$AE$1:$AF$975,2,FALSE),0)</f>
        <v>0</v>
      </c>
      <c r="X326" s="43">
        <f>IFERROR(VLOOKUP(E326,Sheet2!$AG$1:$AH$975,2,FALSE),0)</f>
        <v>0</v>
      </c>
      <c r="Z326" s="60">
        <f>IFERROR(VLOOKUP(F326,Sheet2!$AA$1:$AB$975,2,FALSE),0)</f>
        <v>2</v>
      </c>
      <c r="AA326" s="64">
        <f>IFERROR(VLOOKUP(F326,Sheet2!$AC$1:$AD$975,2,FALSE),0)</f>
        <v>95.98</v>
      </c>
      <c r="AB326" s="65">
        <f>IFERROR(VLOOKUP(F326,Sheet2!$AE$2:$AF$6539,2,FALSE),0)</f>
        <v>42</v>
      </c>
      <c r="AC326" s="43">
        <f>IFERROR(VLOOKUP(F326,Sheet2!$AG$2:$AH$6539,2,FALSE),0)</f>
        <v>0.98</v>
      </c>
      <c r="AE326" s="112">
        <v>27</v>
      </c>
      <c r="AF326" s="9">
        <v>4</v>
      </c>
      <c r="AG326" s="9">
        <v>0</v>
      </c>
      <c r="AH326" s="9">
        <v>0</v>
      </c>
      <c r="AI326" s="9">
        <v>4</v>
      </c>
      <c r="AJ326" s="9">
        <f t="shared" si="12"/>
        <v>31</v>
      </c>
      <c r="AK326" s="45">
        <f t="shared" si="13"/>
        <v>642.81600000000003</v>
      </c>
      <c r="AL326" s="68">
        <v>0</v>
      </c>
      <c r="AM326" s="68">
        <v>0</v>
      </c>
    </row>
    <row r="327" spans="1:39" x14ac:dyDescent="0.2">
      <c r="A327" s="57" t="s">
        <v>2082</v>
      </c>
      <c r="B327" s="47">
        <v>46173</v>
      </c>
      <c r="C327" s="48"/>
      <c r="D327" s="48" t="s">
        <v>1531</v>
      </c>
      <c r="E327" s="49" t="s">
        <v>694</v>
      </c>
      <c r="F327" s="49" t="s">
        <v>695</v>
      </c>
      <c r="G327" s="47" t="e">
        <v>#N/A</v>
      </c>
      <c r="H327" s="47" t="s">
        <v>22</v>
      </c>
      <c r="I327" s="40" t="s">
        <v>689</v>
      </c>
      <c r="J327" s="40" t="s">
        <v>1848</v>
      </c>
      <c r="K327" s="40" t="s">
        <v>613</v>
      </c>
      <c r="L327" s="40" t="s">
        <v>644</v>
      </c>
      <c r="M327" s="11"/>
      <c r="N327" s="11"/>
      <c r="O327" s="50">
        <v>20.736000000000001</v>
      </c>
      <c r="R327" s="9">
        <f>IFERROR(VLOOKUP(E327,Sheet6!$A$2:$B$500,2,FALSE),0)</f>
        <v>2</v>
      </c>
      <c r="S327" s="41">
        <f>IFERROR(VLOOKUP(E327,Sheet6!$C$2:$D$35017,2,FALSE),0)</f>
        <v>88.8</v>
      </c>
      <c r="U327" s="9">
        <f>IFERROR(VLOOKUP(E327,Sheet2!$AA$1:$AB$975,2,FALSE),0)</f>
        <v>1</v>
      </c>
      <c r="V327" s="41">
        <f>IFERROR(VLOOKUP(E327,Sheet2!$AC$1:$AD$975,2,FALSE),0)</f>
        <v>47.99</v>
      </c>
      <c r="W327" s="42">
        <f>IFERROR(VLOOKUP(E327,Sheet2!$AE$1:$AF$975,2,FALSE),0)</f>
        <v>47</v>
      </c>
      <c r="X327" s="43">
        <f>IFERROR(VLOOKUP(E327,Sheet2!$AG$1:$AH$975,2,FALSE),0)</f>
        <v>0.22</v>
      </c>
      <c r="Z327" s="60">
        <f>IFERROR(VLOOKUP(F327,Sheet2!$AA$1:$AB$975,2,FALSE),0)</f>
        <v>0</v>
      </c>
      <c r="AA327" s="64">
        <f>IFERROR(VLOOKUP(F327,Sheet2!$AC$1:$AD$975,2,FALSE),0)</f>
        <v>0</v>
      </c>
      <c r="AB327" s="65">
        <f>IFERROR(VLOOKUP(F327,Sheet2!$AE$2:$AF$6539,2,FALSE),0)</f>
        <v>0</v>
      </c>
      <c r="AC327" s="43">
        <f>IFERROR(VLOOKUP(F327,Sheet2!$AG$2:$AH$6539,2,FALSE),0)</f>
        <v>0</v>
      </c>
      <c r="AE327" s="112">
        <v>31</v>
      </c>
      <c r="AF327" s="9">
        <v>0</v>
      </c>
      <c r="AG327" s="9">
        <v>0</v>
      </c>
      <c r="AH327" s="9">
        <v>0</v>
      </c>
      <c r="AI327" s="9">
        <v>0</v>
      </c>
      <c r="AJ327" s="9">
        <f t="shared" si="12"/>
        <v>31</v>
      </c>
      <c r="AK327" s="45">
        <f t="shared" si="13"/>
        <v>642.81600000000003</v>
      </c>
      <c r="AL327" s="68">
        <v>6</v>
      </c>
      <c r="AM327" s="68">
        <v>12</v>
      </c>
    </row>
    <row r="328" spans="1:39" x14ac:dyDescent="0.2">
      <c r="A328" s="57" t="s">
        <v>2082</v>
      </c>
      <c r="B328" s="47">
        <v>46173</v>
      </c>
      <c r="C328" s="48"/>
      <c r="D328" s="48" t="s">
        <v>1532</v>
      </c>
      <c r="E328" s="49" t="s">
        <v>696</v>
      </c>
      <c r="F328" s="49" t="s">
        <v>697</v>
      </c>
      <c r="G328" s="47" t="e">
        <v>#N/A</v>
      </c>
      <c r="H328" s="47" t="s">
        <v>22</v>
      </c>
      <c r="I328" s="40" t="s">
        <v>689</v>
      </c>
      <c r="J328" s="40" t="s">
        <v>1848</v>
      </c>
      <c r="K328" s="40" t="s">
        <v>613</v>
      </c>
      <c r="L328" s="40" t="s">
        <v>656</v>
      </c>
      <c r="M328" s="11"/>
      <c r="N328" s="11"/>
      <c r="O328" s="50">
        <v>20.736000000000001</v>
      </c>
      <c r="R328" s="9">
        <f>IFERROR(VLOOKUP(E328,Sheet6!$A$2:$B$500,2,FALSE),0)</f>
        <v>0</v>
      </c>
      <c r="S328" s="41">
        <f>IFERROR(VLOOKUP(E328,Sheet6!$C$2:$D$35017,2,FALSE),0)</f>
        <v>0</v>
      </c>
      <c r="U328" s="9">
        <f>IFERROR(VLOOKUP(E328,Sheet2!$AA$1:$AB$975,2,FALSE),0)</f>
        <v>0</v>
      </c>
      <c r="V328" s="41">
        <f>IFERROR(VLOOKUP(E328,Sheet2!$AC$1:$AD$975,2,FALSE),0)</f>
        <v>0</v>
      </c>
      <c r="W328" s="42">
        <f>IFERROR(VLOOKUP(E328,Sheet2!$AE$1:$AF$975,2,FALSE),0)</f>
        <v>0</v>
      </c>
      <c r="X328" s="43">
        <f>IFERROR(VLOOKUP(E328,Sheet2!$AG$1:$AH$975,2,FALSE),0)</f>
        <v>0</v>
      </c>
      <c r="Z328" s="60">
        <f>IFERROR(VLOOKUP(F328,Sheet2!$AA$1:$AB$975,2,FALSE),0)</f>
        <v>0</v>
      </c>
      <c r="AA328" s="64">
        <f>IFERROR(VLOOKUP(F328,Sheet2!$AC$1:$AD$975,2,FALSE),0)</f>
        <v>0</v>
      </c>
      <c r="AB328" s="65">
        <f>IFERROR(VLOOKUP(F328,Sheet2!$AE$2:$AF$6539,2,FALSE),0)</f>
        <v>0</v>
      </c>
      <c r="AC328" s="43">
        <f>IFERROR(VLOOKUP(F328,Sheet2!$AG$2:$AH$6539,2,FALSE),0)</f>
        <v>0</v>
      </c>
      <c r="AE328" s="112">
        <v>6</v>
      </c>
      <c r="AF328" s="9">
        <v>0</v>
      </c>
      <c r="AG328" s="9">
        <v>24</v>
      </c>
      <c r="AH328" s="9">
        <v>0</v>
      </c>
      <c r="AI328" s="9">
        <v>24</v>
      </c>
      <c r="AJ328" s="9">
        <f t="shared" si="12"/>
        <v>30</v>
      </c>
      <c r="AK328" s="45">
        <f t="shared" si="13"/>
        <v>622.08000000000004</v>
      </c>
      <c r="AL328" s="68">
        <v>0</v>
      </c>
      <c r="AM328" s="68">
        <v>0</v>
      </c>
    </row>
    <row r="329" spans="1:39" x14ac:dyDescent="0.2">
      <c r="A329" s="57" t="s">
        <v>2082</v>
      </c>
      <c r="B329" s="47">
        <v>46173</v>
      </c>
      <c r="C329" s="48"/>
      <c r="D329" s="48" t="s">
        <v>1533</v>
      </c>
      <c r="E329" s="49" t="s">
        <v>698</v>
      </c>
      <c r="F329" s="49" t="s">
        <v>699</v>
      </c>
      <c r="G329" s="47" t="e">
        <v>#N/A</v>
      </c>
      <c r="H329" s="47" t="s">
        <v>22</v>
      </c>
      <c r="I329" s="40" t="s">
        <v>700</v>
      </c>
      <c r="J329" s="40" t="s">
        <v>1843</v>
      </c>
      <c r="K329" s="40" t="s">
        <v>24</v>
      </c>
      <c r="L329" s="40" t="s">
        <v>637</v>
      </c>
      <c r="M329" s="11"/>
      <c r="N329" s="11"/>
      <c r="O329" s="50">
        <v>19.440000000000001</v>
      </c>
      <c r="R329" s="9">
        <f>IFERROR(VLOOKUP(E329,Sheet6!$A$2:$B$500,2,FALSE),0)</f>
        <v>0</v>
      </c>
      <c r="S329" s="41">
        <f>IFERROR(VLOOKUP(E329,Sheet6!$C$2:$D$35017,2,FALSE),0)</f>
        <v>0</v>
      </c>
      <c r="U329" s="9">
        <f>IFERROR(VLOOKUP(E329,Sheet2!$AA$1:$AB$975,2,FALSE),0)</f>
        <v>1</v>
      </c>
      <c r="V329" s="41">
        <f>IFERROR(VLOOKUP(E329,Sheet2!$AC$1:$AD$975,2,FALSE),0)</f>
        <v>44.99</v>
      </c>
      <c r="W329" s="42">
        <f>IFERROR(VLOOKUP(E329,Sheet2!$AE$1:$AF$975,2,FALSE),0)</f>
        <v>18</v>
      </c>
      <c r="X329" s="43">
        <f>IFERROR(VLOOKUP(E329,Sheet2!$AG$1:$AH$975,2,FALSE),0)</f>
        <v>0.78259999999999996</v>
      </c>
      <c r="Z329" s="60">
        <f>IFERROR(VLOOKUP(F329,Sheet2!$AA$1:$AB$975,2,FALSE),0)</f>
        <v>2</v>
      </c>
      <c r="AA329" s="64">
        <f>IFERROR(VLOOKUP(F329,Sheet2!$AC$1:$AD$975,2,FALSE),0)</f>
        <v>89.98</v>
      </c>
      <c r="AB329" s="65">
        <f>IFERROR(VLOOKUP(F329,Sheet2!$AE$2:$AF$6539,2,FALSE),0)</f>
        <v>18</v>
      </c>
      <c r="AC329" s="43">
        <f>IFERROR(VLOOKUP(F329,Sheet2!$AG$2:$AH$6539,2,FALSE),0)</f>
        <v>0.78259999999999996</v>
      </c>
      <c r="AE329" s="112">
        <v>0</v>
      </c>
      <c r="AF329" s="9">
        <v>0</v>
      </c>
      <c r="AG329" s="9">
        <v>0</v>
      </c>
      <c r="AH329" s="9">
        <v>0</v>
      </c>
      <c r="AI329" s="9">
        <v>0</v>
      </c>
      <c r="AJ329" s="9">
        <f t="shared" si="12"/>
        <v>0</v>
      </c>
      <c r="AK329" s="45">
        <f t="shared" si="13"/>
        <v>0</v>
      </c>
      <c r="AL329" s="68">
        <v>0</v>
      </c>
      <c r="AM329" s="68">
        <v>0</v>
      </c>
    </row>
    <row r="330" spans="1:39" x14ac:dyDescent="0.2">
      <c r="A330" s="57" t="s">
        <v>2082</v>
      </c>
      <c r="B330" s="47">
        <v>46173</v>
      </c>
      <c r="C330" s="48"/>
      <c r="D330" s="48" t="s">
        <v>1534</v>
      </c>
      <c r="E330" s="49" t="s">
        <v>701</v>
      </c>
      <c r="F330" s="49" t="s">
        <v>702</v>
      </c>
      <c r="G330" s="47" t="e">
        <v>#N/A</v>
      </c>
      <c r="H330" s="47" t="s">
        <v>22</v>
      </c>
      <c r="I330" s="40" t="s">
        <v>700</v>
      </c>
      <c r="J330" s="40" t="s">
        <v>1843</v>
      </c>
      <c r="K330" s="40" t="s">
        <v>24</v>
      </c>
      <c r="L330" s="40" t="s">
        <v>644</v>
      </c>
      <c r="M330" s="11"/>
      <c r="N330" s="11"/>
      <c r="O330" s="50">
        <v>19.440000000000001</v>
      </c>
      <c r="R330" s="9">
        <f>IFERROR(VLOOKUP(E330,Sheet6!$A$2:$B$500,2,FALSE),0)</f>
        <v>0</v>
      </c>
      <c r="S330" s="41">
        <f>IFERROR(VLOOKUP(E330,Sheet6!$C$2:$D$35017,2,FALSE),0)</f>
        <v>0</v>
      </c>
      <c r="U330" s="9">
        <f>IFERROR(VLOOKUP(E330,Sheet2!$AA$1:$AB$975,2,FALSE),0)</f>
        <v>0</v>
      </c>
      <c r="V330" s="41">
        <f>IFERROR(VLOOKUP(E330,Sheet2!$AC$1:$AD$975,2,FALSE),0)</f>
        <v>0</v>
      </c>
      <c r="W330" s="42">
        <f>IFERROR(VLOOKUP(E330,Sheet2!$AE$1:$AF$975,2,FALSE),0)</f>
        <v>0</v>
      </c>
      <c r="X330" s="43">
        <f>IFERROR(VLOOKUP(E330,Sheet2!$AG$1:$AH$975,2,FALSE),0)</f>
        <v>0</v>
      </c>
      <c r="Z330" s="60">
        <f>IFERROR(VLOOKUP(F330,Sheet2!$AA$1:$AB$975,2,FALSE),0)</f>
        <v>2</v>
      </c>
      <c r="AA330" s="64">
        <f>IFERROR(VLOOKUP(F330,Sheet2!$AC$1:$AD$975,2,FALSE),0)</f>
        <v>89.98</v>
      </c>
      <c r="AB330" s="65">
        <f>IFERROR(VLOOKUP(F330,Sheet2!$AE$2:$AF$6539,2,FALSE),0)</f>
        <v>23</v>
      </c>
      <c r="AC330" s="43">
        <f>IFERROR(VLOOKUP(F330,Sheet2!$AG$2:$AH$6539,2,FALSE),0)</f>
        <v>0.75</v>
      </c>
      <c r="AE330" s="112">
        <v>6</v>
      </c>
      <c r="AF330" s="9">
        <v>1</v>
      </c>
      <c r="AG330" s="9">
        <v>0</v>
      </c>
      <c r="AH330" s="9">
        <v>0</v>
      </c>
      <c r="AI330" s="9">
        <v>1</v>
      </c>
      <c r="AJ330" s="9">
        <f t="shared" si="12"/>
        <v>7</v>
      </c>
      <c r="AK330" s="45">
        <f t="shared" si="13"/>
        <v>136.08000000000001</v>
      </c>
      <c r="AL330" s="68">
        <v>6</v>
      </c>
      <c r="AM330" s="68">
        <v>0</v>
      </c>
    </row>
    <row r="331" spans="1:39" x14ac:dyDescent="0.2">
      <c r="A331" s="57" t="s">
        <v>2082</v>
      </c>
      <c r="B331" s="47">
        <v>46173</v>
      </c>
      <c r="C331" s="48"/>
      <c r="D331" s="48" t="s">
        <v>1535</v>
      </c>
      <c r="E331" s="49" t="s">
        <v>703</v>
      </c>
      <c r="F331" s="49" t="s">
        <v>704</v>
      </c>
      <c r="G331" s="47" t="e">
        <v>#N/A</v>
      </c>
      <c r="H331" s="47" t="s">
        <v>22</v>
      </c>
      <c r="I331" s="40" t="s">
        <v>700</v>
      </c>
      <c r="J331" s="40" t="s">
        <v>1843</v>
      </c>
      <c r="K331" s="40" t="s">
        <v>24</v>
      </c>
      <c r="L331" s="40" t="s">
        <v>656</v>
      </c>
      <c r="M331" s="11"/>
      <c r="N331" s="11"/>
      <c r="O331" s="50">
        <v>19.440000000000001</v>
      </c>
      <c r="R331" s="9">
        <f>IFERROR(VLOOKUP(E331,Sheet6!$A$2:$B$500,2,FALSE),0)</f>
        <v>0</v>
      </c>
      <c r="S331" s="41">
        <f>IFERROR(VLOOKUP(E331,Sheet6!$C$2:$D$35017,2,FALSE),0)</f>
        <v>0</v>
      </c>
      <c r="U331" s="9">
        <f>IFERROR(VLOOKUP(E331,Sheet2!$AA$1:$AB$975,2,FALSE),0)</f>
        <v>0</v>
      </c>
      <c r="V331" s="41">
        <f>IFERROR(VLOOKUP(E331,Sheet2!$AC$1:$AD$975,2,FALSE),0)</f>
        <v>0</v>
      </c>
      <c r="W331" s="42">
        <f>IFERROR(VLOOKUP(E331,Sheet2!$AE$1:$AF$975,2,FALSE),0)</f>
        <v>0</v>
      </c>
      <c r="X331" s="43">
        <f>IFERROR(VLOOKUP(E331,Sheet2!$AG$1:$AH$975,2,FALSE),0)</f>
        <v>0</v>
      </c>
      <c r="Z331" s="60">
        <f>IFERROR(VLOOKUP(F331,Sheet2!$AA$1:$AB$975,2,FALSE),0)</f>
        <v>3</v>
      </c>
      <c r="AA331" s="64">
        <f>IFERROR(VLOOKUP(F331,Sheet2!$AC$1:$AD$975,2,FALSE),0)</f>
        <v>134.97</v>
      </c>
      <c r="AB331" s="65">
        <f>IFERROR(VLOOKUP(F331,Sheet2!$AE$2:$AF$6539,2,FALSE),0)</f>
        <v>26</v>
      </c>
      <c r="AC331" s="43">
        <f>IFERROR(VLOOKUP(F331,Sheet2!$AG$2:$AH$6539,2,FALSE),0)</f>
        <v>0.77780000000000005</v>
      </c>
      <c r="AE331" s="112">
        <v>0</v>
      </c>
      <c r="AF331" s="9">
        <v>3</v>
      </c>
      <c r="AG331" s="9">
        <v>0</v>
      </c>
      <c r="AH331" s="9">
        <v>0</v>
      </c>
      <c r="AI331" s="9">
        <v>3</v>
      </c>
      <c r="AJ331" s="9">
        <f t="shared" si="12"/>
        <v>3</v>
      </c>
      <c r="AK331" s="45">
        <f t="shared" si="13"/>
        <v>58.320000000000007</v>
      </c>
      <c r="AL331" s="68">
        <v>0</v>
      </c>
      <c r="AM331" s="68">
        <v>0</v>
      </c>
    </row>
    <row r="332" spans="1:39" x14ac:dyDescent="0.2">
      <c r="A332" s="57" t="s">
        <v>2082</v>
      </c>
      <c r="B332" s="47">
        <v>46173</v>
      </c>
      <c r="C332" s="48"/>
      <c r="D332" s="48" t="s">
        <v>1536</v>
      </c>
      <c r="E332" s="49" t="s">
        <v>705</v>
      </c>
      <c r="F332" s="49" t="s">
        <v>706</v>
      </c>
      <c r="G332" s="47" t="e">
        <v>#N/A</v>
      </c>
      <c r="H332" s="47" t="s">
        <v>22</v>
      </c>
      <c r="I332" s="40" t="s">
        <v>700</v>
      </c>
      <c r="J332" s="40" t="s">
        <v>1843</v>
      </c>
      <c r="K332" s="40" t="s">
        <v>41</v>
      </c>
      <c r="L332" s="40" t="s">
        <v>637</v>
      </c>
      <c r="M332" s="11"/>
      <c r="N332" s="11"/>
      <c r="O332" s="50">
        <v>19.440000000000001</v>
      </c>
      <c r="R332" s="9">
        <f>IFERROR(VLOOKUP(E332,Sheet6!$A$2:$B$500,2,FALSE),0)</f>
        <v>0</v>
      </c>
      <c r="S332" s="41">
        <f>IFERROR(VLOOKUP(E332,Sheet6!$C$2:$D$35017,2,FALSE),0)</f>
        <v>0</v>
      </c>
      <c r="U332" s="9">
        <f>IFERROR(VLOOKUP(E332,Sheet2!$AA$1:$AB$975,2,FALSE),0)</f>
        <v>0</v>
      </c>
      <c r="V332" s="41">
        <f>IFERROR(VLOOKUP(E332,Sheet2!$AC$1:$AD$975,2,FALSE),0)</f>
        <v>0</v>
      </c>
      <c r="W332" s="42">
        <f>IFERROR(VLOOKUP(E332,Sheet2!$AE$1:$AF$975,2,FALSE),0)</f>
        <v>0</v>
      </c>
      <c r="X332" s="43">
        <f>IFERROR(VLOOKUP(E332,Sheet2!$AG$1:$AH$975,2,FALSE),0)</f>
        <v>0</v>
      </c>
      <c r="Z332" s="60">
        <f>IFERROR(VLOOKUP(F332,Sheet2!$AA$1:$AB$975,2,FALSE),0)</f>
        <v>3</v>
      </c>
      <c r="AA332" s="64">
        <f>IFERROR(VLOOKUP(F332,Sheet2!$AC$1:$AD$975,2,FALSE),0)</f>
        <v>134.97</v>
      </c>
      <c r="AB332" s="65">
        <f>IFERROR(VLOOKUP(F332,Sheet2!$AE$2:$AF$6539,2,FALSE),0)</f>
        <v>23</v>
      </c>
      <c r="AC332" s="43">
        <f>IFERROR(VLOOKUP(F332,Sheet2!$AG$2:$AH$6539,2,FALSE),0)</f>
        <v>1</v>
      </c>
      <c r="AE332" s="112">
        <v>4</v>
      </c>
      <c r="AF332" s="9">
        <v>9</v>
      </c>
      <c r="AG332" s="9">
        <v>0</v>
      </c>
      <c r="AH332" s="9">
        <v>0</v>
      </c>
      <c r="AI332" s="9">
        <v>9</v>
      </c>
      <c r="AJ332" s="9">
        <f t="shared" si="12"/>
        <v>13</v>
      </c>
      <c r="AK332" s="45">
        <f t="shared" si="13"/>
        <v>252.72000000000003</v>
      </c>
      <c r="AL332" s="68">
        <v>0</v>
      </c>
      <c r="AM332" s="68">
        <v>0</v>
      </c>
    </row>
    <row r="333" spans="1:39" x14ac:dyDescent="0.2">
      <c r="A333" s="57" t="s">
        <v>2082</v>
      </c>
      <c r="B333" s="47">
        <v>46173</v>
      </c>
      <c r="C333" s="48"/>
      <c r="D333" s="48" t="s">
        <v>1537</v>
      </c>
      <c r="E333" s="49" t="s">
        <v>707</v>
      </c>
      <c r="F333" s="49" t="s">
        <v>708</v>
      </c>
      <c r="G333" s="47" t="e">
        <v>#N/A</v>
      </c>
      <c r="H333" s="47" t="s">
        <v>94</v>
      </c>
      <c r="I333" s="40" t="s">
        <v>700</v>
      </c>
      <c r="J333" s="40" t="s">
        <v>1843</v>
      </c>
      <c r="K333" s="40" t="s">
        <v>41</v>
      </c>
      <c r="L333" s="40" t="s">
        <v>644</v>
      </c>
      <c r="M333" s="11"/>
      <c r="N333" s="11"/>
      <c r="O333" s="50">
        <v>19.440000000000001</v>
      </c>
      <c r="R333" s="9">
        <f>IFERROR(VLOOKUP(E333,Sheet6!$A$2:$B$500,2,FALSE),0)</f>
        <v>0</v>
      </c>
      <c r="S333" s="41">
        <f>IFERROR(VLOOKUP(E333,Sheet6!$C$2:$D$35017,2,FALSE),0)</f>
        <v>0</v>
      </c>
      <c r="U333" s="9">
        <f>IFERROR(VLOOKUP(E333,Sheet2!$AA$1:$AB$975,2,FALSE),0)</f>
        <v>0</v>
      </c>
      <c r="V333" s="41">
        <f>IFERROR(VLOOKUP(E333,Sheet2!$AC$1:$AD$975,2,FALSE),0)</f>
        <v>0</v>
      </c>
      <c r="W333" s="42">
        <f>IFERROR(VLOOKUP(E333,Sheet2!$AE$1:$AF$975,2,FALSE),0)</f>
        <v>0</v>
      </c>
      <c r="X333" s="43">
        <f>IFERROR(VLOOKUP(E333,Sheet2!$AG$1:$AH$975,2,FALSE),0)</f>
        <v>0</v>
      </c>
      <c r="Z333" s="60">
        <f>IFERROR(VLOOKUP(F333,Sheet2!$AA$1:$AB$975,2,FALSE),0)</f>
        <v>4</v>
      </c>
      <c r="AA333" s="64">
        <f>IFERROR(VLOOKUP(F333,Sheet2!$AC$1:$AD$975,2,FALSE),0)</f>
        <v>179.96</v>
      </c>
      <c r="AB333" s="65">
        <f>IFERROR(VLOOKUP(F333,Sheet2!$AE$2:$AF$6539,2,FALSE),0)</f>
        <v>19</v>
      </c>
      <c r="AC333" s="43">
        <f>IFERROR(VLOOKUP(F333,Sheet2!$AG$2:$AH$6539,2,FALSE),0)</f>
        <v>1</v>
      </c>
      <c r="AE333" s="112">
        <v>4</v>
      </c>
      <c r="AF333" s="9">
        <v>1</v>
      </c>
      <c r="AG333" s="9">
        <v>0</v>
      </c>
      <c r="AH333" s="9">
        <v>0</v>
      </c>
      <c r="AI333" s="9">
        <v>1</v>
      </c>
      <c r="AJ333" s="9">
        <f t="shared" si="12"/>
        <v>5</v>
      </c>
      <c r="AK333" s="45">
        <f t="shared" si="13"/>
        <v>97.2</v>
      </c>
      <c r="AL333" s="68">
        <v>12</v>
      </c>
      <c r="AM333" s="68">
        <v>0</v>
      </c>
    </row>
    <row r="334" spans="1:39" x14ac:dyDescent="0.2">
      <c r="A334" s="57" t="s">
        <v>2082</v>
      </c>
      <c r="B334" s="47">
        <v>46173</v>
      </c>
      <c r="C334" s="108"/>
      <c r="D334" s="48" t="s">
        <v>1538</v>
      </c>
      <c r="E334" s="49" t="s">
        <v>709</v>
      </c>
      <c r="F334" s="49" t="s">
        <v>710</v>
      </c>
      <c r="G334" s="47" t="e">
        <v>#N/A</v>
      </c>
      <c r="H334" s="47" t="s">
        <v>94</v>
      </c>
      <c r="I334" s="40" t="s">
        <v>711</v>
      </c>
      <c r="J334" s="40" t="s">
        <v>1730</v>
      </c>
      <c r="K334" s="40" t="s">
        <v>24</v>
      </c>
      <c r="L334" s="40" t="s">
        <v>637</v>
      </c>
      <c r="M334" s="11"/>
      <c r="N334" s="11"/>
      <c r="O334" s="50">
        <v>20.736000000000001</v>
      </c>
      <c r="R334" s="9">
        <f>IFERROR(VLOOKUP(E334,Sheet6!$A$2:$B$500,2,FALSE),0)</f>
        <v>0</v>
      </c>
      <c r="S334" s="41">
        <f>IFERROR(VLOOKUP(E334,Sheet6!$C$2:$D$35017,2,FALSE),0)</f>
        <v>0</v>
      </c>
      <c r="U334" s="9">
        <f>IFERROR(VLOOKUP(E334,Sheet2!$AA$1:$AB$975,2,FALSE),0)</f>
        <v>0</v>
      </c>
      <c r="V334" s="41">
        <f>IFERROR(VLOOKUP(E334,Sheet2!$AC$1:$AD$975,2,FALSE),0)</f>
        <v>0</v>
      </c>
      <c r="W334" s="42">
        <f>IFERROR(VLOOKUP(E334,Sheet2!$AE$1:$AF$975,2,FALSE),0)</f>
        <v>0</v>
      </c>
      <c r="X334" s="43">
        <f>IFERROR(VLOOKUP(E334,Sheet2!$AG$1:$AH$975,2,FALSE),0)</f>
        <v>0</v>
      </c>
      <c r="Z334" s="60">
        <f>IFERROR(VLOOKUP(F334,Sheet2!$AA$1:$AB$975,2,FALSE),0)</f>
        <v>0</v>
      </c>
      <c r="AA334" s="64">
        <f>IFERROR(VLOOKUP(F334,Sheet2!$AC$1:$AD$975,2,FALSE),0)</f>
        <v>0</v>
      </c>
      <c r="AB334" s="65">
        <f>IFERROR(VLOOKUP(F334,Sheet2!$AE$2:$AF$6539,2,FALSE),0)</f>
        <v>0</v>
      </c>
      <c r="AC334" s="43">
        <f>IFERROR(VLOOKUP(F334,Sheet2!$AG$2:$AH$6539,2,FALSE),0)</f>
        <v>0</v>
      </c>
      <c r="AE334" s="112">
        <v>4</v>
      </c>
      <c r="AF334" s="9">
        <v>18</v>
      </c>
      <c r="AG334" s="9">
        <v>0</v>
      </c>
      <c r="AH334" s="9">
        <v>0</v>
      </c>
      <c r="AI334" s="9">
        <v>18</v>
      </c>
      <c r="AJ334" s="9">
        <f t="shared" si="12"/>
        <v>22</v>
      </c>
      <c r="AK334" s="45">
        <f t="shared" si="13"/>
        <v>456.19200000000001</v>
      </c>
      <c r="AL334" s="68">
        <v>0</v>
      </c>
      <c r="AM334" s="68">
        <v>0</v>
      </c>
    </row>
    <row r="335" spans="1:39" x14ac:dyDescent="0.2">
      <c r="A335" s="57" t="s">
        <v>2082</v>
      </c>
      <c r="B335" s="47">
        <v>46173</v>
      </c>
      <c r="C335" s="48"/>
      <c r="D335" s="48" t="s">
        <v>1539</v>
      </c>
      <c r="E335" s="49" t="s">
        <v>712</v>
      </c>
      <c r="F335" s="49" t="s">
        <v>713</v>
      </c>
      <c r="G335" s="47" t="e">
        <v>#N/A</v>
      </c>
      <c r="H335" s="47" t="s">
        <v>94</v>
      </c>
      <c r="I335" s="40" t="s">
        <v>711</v>
      </c>
      <c r="J335" s="40" t="s">
        <v>1730</v>
      </c>
      <c r="K335" s="40" t="s">
        <v>24</v>
      </c>
      <c r="L335" s="40" t="s">
        <v>644</v>
      </c>
      <c r="M335" s="11"/>
      <c r="N335" s="11"/>
      <c r="O335" s="50">
        <v>20.736000000000001</v>
      </c>
      <c r="R335" s="9">
        <f>IFERROR(VLOOKUP(E335,Sheet6!$A$2:$B$500,2,FALSE),0)</f>
        <v>0</v>
      </c>
      <c r="S335" s="41">
        <f>IFERROR(VLOOKUP(E335,Sheet6!$C$2:$D$35017,2,FALSE),0)</f>
        <v>0</v>
      </c>
      <c r="U335" s="9">
        <f>IFERROR(VLOOKUP(E335,Sheet2!$AA$1:$AB$975,2,FALSE),0)</f>
        <v>0</v>
      </c>
      <c r="V335" s="41">
        <f>IFERROR(VLOOKUP(E335,Sheet2!$AC$1:$AD$975,2,FALSE),0)</f>
        <v>0</v>
      </c>
      <c r="W335" s="42">
        <f>IFERROR(VLOOKUP(E335,Sheet2!$AE$1:$AF$975,2,FALSE),0)</f>
        <v>0</v>
      </c>
      <c r="X335" s="43">
        <f>IFERROR(VLOOKUP(E335,Sheet2!$AG$1:$AH$975,2,FALSE),0)</f>
        <v>0</v>
      </c>
      <c r="Z335" s="60">
        <f>IFERROR(VLOOKUP(F335,Sheet2!$AA$1:$AB$975,2,FALSE),0)</f>
        <v>0</v>
      </c>
      <c r="AA335" s="64">
        <f>IFERROR(VLOOKUP(F335,Sheet2!$AC$1:$AD$975,2,FALSE),0)</f>
        <v>0</v>
      </c>
      <c r="AB335" s="65">
        <f>IFERROR(VLOOKUP(F335,Sheet2!$AE$2:$AF$6539,2,FALSE),0)</f>
        <v>0</v>
      </c>
      <c r="AC335" s="43">
        <f>IFERROR(VLOOKUP(F335,Sheet2!$AG$2:$AH$6539,2,FALSE),0)</f>
        <v>0</v>
      </c>
      <c r="AE335" s="112">
        <v>2</v>
      </c>
      <c r="AF335" s="9">
        <v>3</v>
      </c>
      <c r="AG335" s="9">
        <v>0</v>
      </c>
      <c r="AH335" s="9">
        <v>0</v>
      </c>
      <c r="AI335" s="9">
        <v>3</v>
      </c>
      <c r="AJ335" s="9">
        <f t="shared" si="12"/>
        <v>5</v>
      </c>
      <c r="AK335" s="45">
        <f t="shared" si="13"/>
        <v>103.68</v>
      </c>
      <c r="AL335" s="68">
        <v>0</v>
      </c>
      <c r="AM335" s="68">
        <v>0</v>
      </c>
    </row>
    <row r="336" spans="1:39" x14ac:dyDescent="0.2">
      <c r="A336" s="57" t="s">
        <v>2082</v>
      </c>
      <c r="B336" s="47">
        <v>46173</v>
      </c>
      <c r="C336" s="108"/>
      <c r="D336" s="48" t="s">
        <v>1540</v>
      </c>
      <c r="E336" s="49" t="s">
        <v>714</v>
      </c>
      <c r="F336" s="49" t="s">
        <v>715</v>
      </c>
      <c r="G336" s="47" t="e">
        <v>#N/A</v>
      </c>
      <c r="H336" s="47" t="s">
        <v>94</v>
      </c>
      <c r="I336" s="40" t="s">
        <v>711</v>
      </c>
      <c r="J336" s="40" t="s">
        <v>1730</v>
      </c>
      <c r="K336" s="40" t="s">
        <v>41</v>
      </c>
      <c r="L336" s="40" t="s">
        <v>637</v>
      </c>
      <c r="M336" s="11"/>
      <c r="N336" s="11"/>
      <c r="O336" s="50">
        <v>20.736000000000001</v>
      </c>
      <c r="R336" s="9">
        <f>IFERROR(VLOOKUP(E336,Sheet6!$A$2:$B$500,2,FALSE),0)</f>
        <v>0</v>
      </c>
      <c r="S336" s="41">
        <f>IFERROR(VLOOKUP(E336,Sheet6!$C$2:$D$35017,2,FALSE),0)</f>
        <v>0</v>
      </c>
      <c r="U336" s="9">
        <f>IFERROR(VLOOKUP(E336,Sheet2!$AA$1:$AB$975,2,FALSE),0)</f>
        <v>0</v>
      </c>
      <c r="V336" s="41">
        <f>IFERROR(VLOOKUP(E336,Sheet2!$AC$1:$AD$975,2,FALSE),0)</f>
        <v>0</v>
      </c>
      <c r="W336" s="42">
        <f>IFERROR(VLOOKUP(E336,Sheet2!$AE$1:$AF$975,2,FALSE),0)</f>
        <v>0</v>
      </c>
      <c r="X336" s="43">
        <f>IFERROR(VLOOKUP(E336,Sheet2!$AG$1:$AH$975,2,FALSE),0)</f>
        <v>0</v>
      </c>
      <c r="Z336" s="60">
        <f>IFERROR(VLOOKUP(F336,Sheet2!$AA$1:$AB$975,2,FALSE),0)</f>
        <v>0</v>
      </c>
      <c r="AA336" s="64">
        <f>IFERROR(VLOOKUP(F336,Sheet2!$AC$1:$AD$975,2,FALSE),0)</f>
        <v>0</v>
      </c>
      <c r="AB336" s="65">
        <f>IFERROR(VLOOKUP(F336,Sheet2!$AE$2:$AF$6539,2,FALSE),0)</f>
        <v>0</v>
      </c>
      <c r="AC336" s="43">
        <f>IFERROR(VLOOKUP(F336,Sheet2!$AG$2:$AH$6539,2,FALSE),0)</f>
        <v>0</v>
      </c>
      <c r="AE336" s="112">
        <v>6</v>
      </c>
      <c r="AF336" s="9">
        <v>5</v>
      </c>
      <c r="AG336" s="9">
        <v>0</v>
      </c>
      <c r="AH336" s="9">
        <v>0</v>
      </c>
      <c r="AI336" s="9">
        <v>5</v>
      </c>
      <c r="AJ336" s="9">
        <f t="shared" si="12"/>
        <v>11</v>
      </c>
      <c r="AK336" s="45">
        <f t="shared" si="13"/>
        <v>228.096</v>
      </c>
      <c r="AL336" s="68">
        <v>0</v>
      </c>
      <c r="AM336" s="68">
        <v>0</v>
      </c>
    </row>
    <row r="337" spans="1:39" x14ac:dyDescent="0.2">
      <c r="A337" s="57" t="s">
        <v>2082</v>
      </c>
      <c r="B337" s="47">
        <v>46173</v>
      </c>
      <c r="C337" s="48"/>
      <c r="D337" s="48" t="s">
        <v>1541</v>
      </c>
      <c r="E337" s="49" t="s">
        <v>716</v>
      </c>
      <c r="F337" s="49" t="s">
        <v>717</v>
      </c>
      <c r="G337" s="47" t="e">
        <v>#N/A</v>
      </c>
      <c r="H337" s="47" t="s">
        <v>94</v>
      </c>
      <c r="I337" s="40" t="s">
        <v>711</v>
      </c>
      <c r="J337" s="40" t="s">
        <v>1730</v>
      </c>
      <c r="K337" s="40" t="s">
        <v>41</v>
      </c>
      <c r="L337" s="40" t="s">
        <v>644</v>
      </c>
      <c r="M337" s="11"/>
      <c r="N337" s="11"/>
      <c r="O337" s="50">
        <v>20.736000000000001</v>
      </c>
      <c r="R337" s="9">
        <f>IFERROR(VLOOKUP(E337,Sheet6!$A$2:$B$500,2,FALSE),0)</f>
        <v>0</v>
      </c>
      <c r="S337" s="41">
        <f>IFERROR(VLOOKUP(E337,Sheet6!$C$2:$D$35017,2,FALSE),0)</f>
        <v>0</v>
      </c>
      <c r="U337" s="9">
        <f>IFERROR(VLOOKUP(E337,Sheet2!$AA$1:$AB$975,2,FALSE),0)</f>
        <v>0</v>
      </c>
      <c r="V337" s="41">
        <f>IFERROR(VLOOKUP(E337,Sheet2!$AC$1:$AD$975,2,FALSE),0)</f>
        <v>0</v>
      </c>
      <c r="W337" s="42">
        <f>IFERROR(VLOOKUP(E337,Sheet2!$AE$1:$AF$975,2,FALSE),0)</f>
        <v>0</v>
      </c>
      <c r="X337" s="43">
        <f>IFERROR(VLOOKUP(E337,Sheet2!$AG$1:$AH$975,2,FALSE),0)</f>
        <v>0</v>
      </c>
      <c r="Z337" s="60">
        <f>IFERROR(VLOOKUP(F337,Sheet2!$AA$1:$AB$975,2,FALSE),0)</f>
        <v>0</v>
      </c>
      <c r="AA337" s="64">
        <f>IFERROR(VLOOKUP(F337,Sheet2!$AC$1:$AD$975,2,FALSE),0)</f>
        <v>0</v>
      </c>
      <c r="AB337" s="65">
        <f>IFERROR(VLOOKUP(F337,Sheet2!$AE$2:$AF$6539,2,FALSE),0)</f>
        <v>0</v>
      </c>
      <c r="AC337" s="43">
        <f>IFERROR(VLOOKUP(F337,Sheet2!$AG$2:$AH$6539,2,FALSE),0)</f>
        <v>0</v>
      </c>
      <c r="AE337" s="112">
        <v>3</v>
      </c>
      <c r="AF337" s="9">
        <v>0</v>
      </c>
      <c r="AG337" s="9">
        <v>0</v>
      </c>
      <c r="AH337" s="9">
        <v>0</v>
      </c>
      <c r="AI337" s="9">
        <v>0</v>
      </c>
      <c r="AJ337" s="9">
        <f t="shared" si="12"/>
        <v>3</v>
      </c>
      <c r="AK337" s="45">
        <f t="shared" si="13"/>
        <v>62.207999999999998</v>
      </c>
      <c r="AL337" s="68">
        <v>0</v>
      </c>
      <c r="AM337" s="68">
        <v>0</v>
      </c>
    </row>
    <row r="338" spans="1:39" x14ac:dyDescent="0.2">
      <c r="A338" s="57" t="s">
        <v>2082</v>
      </c>
      <c r="B338" s="47">
        <v>46173</v>
      </c>
      <c r="C338" s="48"/>
      <c r="D338" s="48" t="s">
        <v>1542</v>
      </c>
      <c r="E338" s="49" t="s">
        <v>718</v>
      </c>
      <c r="F338" s="49" t="s">
        <v>719</v>
      </c>
      <c r="G338" s="47" t="e">
        <v>#N/A</v>
      </c>
      <c r="H338" s="47" t="s">
        <v>94</v>
      </c>
      <c r="I338" s="40" t="s">
        <v>720</v>
      </c>
      <c r="J338" s="40" t="s">
        <v>1732</v>
      </c>
      <c r="K338" s="40" t="s">
        <v>721</v>
      </c>
      <c r="L338" s="40" t="s">
        <v>637</v>
      </c>
      <c r="M338" s="11"/>
      <c r="N338" s="11"/>
      <c r="O338" s="50">
        <v>15.552000000000001</v>
      </c>
      <c r="R338" s="9">
        <f>IFERROR(VLOOKUP(E338,Sheet6!$A$2:$B$500,2,FALSE),0)</f>
        <v>0</v>
      </c>
      <c r="S338" s="41">
        <f>IFERROR(VLOOKUP(E338,Sheet6!$C$2:$D$35017,2,FALSE),0)</f>
        <v>0</v>
      </c>
      <c r="U338" s="9">
        <f>IFERROR(VLOOKUP(E338,Sheet2!$AA$1:$AB$975,2,FALSE),0)</f>
        <v>0</v>
      </c>
      <c r="V338" s="41">
        <f>IFERROR(VLOOKUP(E338,Sheet2!$AC$1:$AD$975,2,FALSE),0)</f>
        <v>0</v>
      </c>
      <c r="W338" s="42">
        <f>IFERROR(VLOOKUP(E338,Sheet2!$AE$1:$AF$975,2,FALSE),0)</f>
        <v>0</v>
      </c>
      <c r="X338" s="43">
        <f>IFERROR(VLOOKUP(E338,Sheet2!$AG$1:$AH$975,2,FALSE),0)</f>
        <v>0</v>
      </c>
      <c r="Z338" s="60">
        <f>IFERROR(VLOOKUP(F338,Sheet2!$AA$1:$AB$975,2,FALSE),0)</f>
        <v>0</v>
      </c>
      <c r="AA338" s="64">
        <f>IFERROR(VLOOKUP(F338,Sheet2!$AC$1:$AD$975,2,FALSE),0)</f>
        <v>0</v>
      </c>
      <c r="AB338" s="65">
        <f>IFERROR(VLOOKUP(F338,Sheet2!$AE$2:$AF$6539,2,FALSE),0)</f>
        <v>0</v>
      </c>
      <c r="AC338" s="43">
        <f>IFERROR(VLOOKUP(F338,Sheet2!$AG$2:$AH$6539,2,FALSE),0)</f>
        <v>0</v>
      </c>
      <c r="AE338" s="112">
        <v>9</v>
      </c>
      <c r="AF338" s="9">
        <v>0</v>
      </c>
      <c r="AG338" s="9">
        <v>0</v>
      </c>
      <c r="AH338" s="9">
        <v>0</v>
      </c>
      <c r="AI338" s="9">
        <v>0</v>
      </c>
      <c r="AJ338" s="9">
        <f t="shared" si="12"/>
        <v>9</v>
      </c>
      <c r="AK338" s="45">
        <f t="shared" si="13"/>
        <v>139.96800000000002</v>
      </c>
      <c r="AL338" s="68">
        <v>0</v>
      </c>
      <c r="AM338" s="68">
        <v>0</v>
      </c>
    </row>
    <row r="339" spans="1:39" x14ac:dyDescent="0.2">
      <c r="A339" s="57" t="s">
        <v>2082</v>
      </c>
      <c r="B339" s="47">
        <v>46173</v>
      </c>
      <c r="C339" s="48"/>
      <c r="D339" s="48" t="s">
        <v>1543</v>
      </c>
      <c r="E339" s="49" t="s">
        <v>722</v>
      </c>
      <c r="F339" s="49" t="s">
        <v>723</v>
      </c>
      <c r="G339" s="47" t="e">
        <v>#N/A</v>
      </c>
      <c r="H339" s="47" t="s">
        <v>94</v>
      </c>
      <c r="I339" s="40" t="s">
        <v>720</v>
      </c>
      <c r="J339" s="40" t="s">
        <v>1732</v>
      </c>
      <c r="K339" s="40" t="s">
        <v>721</v>
      </c>
      <c r="L339" s="40" t="s">
        <v>644</v>
      </c>
      <c r="M339" s="11"/>
      <c r="N339" s="11"/>
      <c r="O339" s="50">
        <v>15.552000000000001</v>
      </c>
      <c r="R339" s="9">
        <f>IFERROR(VLOOKUP(E339,Sheet6!$A$2:$B$500,2,FALSE),0)</f>
        <v>0</v>
      </c>
      <c r="S339" s="41">
        <f>IFERROR(VLOOKUP(E339,Sheet6!$C$2:$D$35017,2,FALSE),0)</f>
        <v>0</v>
      </c>
      <c r="U339" s="9">
        <f>IFERROR(VLOOKUP(E339,Sheet2!$AA$1:$AB$975,2,FALSE),0)</f>
        <v>1</v>
      </c>
      <c r="V339" s="41">
        <f>IFERROR(VLOOKUP(E339,Sheet2!$AC$1:$AD$975,2,FALSE),0)</f>
        <v>36</v>
      </c>
      <c r="W339" s="42">
        <f>IFERROR(VLOOKUP(E339,Sheet2!$AE$1:$AF$975,2,FALSE),0)</f>
        <v>9</v>
      </c>
      <c r="X339" s="43">
        <f>IFERROR(VLOOKUP(E339,Sheet2!$AG$1:$AH$975,2,FALSE),0)</f>
        <v>1</v>
      </c>
      <c r="Z339" s="60">
        <f>IFERROR(VLOOKUP(F339,Sheet2!$AA$1:$AB$975,2,FALSE),0)</f>
        <v>0</v>
      </c>
      <c r="AA339" s="64">
        <f>IFERROR(VLOOKUP(F339,Sheet2!$AC$1:$AD$975,2,FALSE),0)</f>
        <v>0</v>
      </c>
      <c r="AB339" s="65">
        <f>IFERROR(VLOOKUP(F339,Sheet2!$AE$2:$AF$6539,2,FALSE),0)</f>
        <v>0</v>
      </c>
      <c r="AC339" s="43">
        <f>IFERROR(VLOOKUP(F339,Sheet2!$AG$2:$AH$6539,2,FALSE),0)</f>
        <v>0</v>
      </c>
      <c r="AE339" s="112">
        <v>11</v>
      </c>
      <c r="AF339" s="9">
        <v>0</v>
      </c>
      <c r="AG339" s="9">
        <v>0</v>
      </c>
      <c r="AH339" s="9">
        <v>0</v>
      </c>
      <c r="AI339" s="9">
        <v>0</v>
      </c>
      <c r="AJ339" s="9">
        <f t="shared" si="12"/>
        <v>11</v>
      </c>
      <c r="AK339" s="45">
        <f t="shared" si="13"/>
        <v>171.072</v>
      </c>
      <c r="AL339" s="68">
        <v>0</v>
      </c>
      <c r="AM339" s="68">
        <v>0</v>
      </c>
    </row>
    <row r="340" spans="1:39" x14ac:dyDescent="0.2">
      <c r="A340" s="57" t="s">
        <v>2082</v>
      </c>
      <c r="B340" s="47">
        <v>46173</v>
      </c>
      <c r="C340" s="48"/>
      <c r="D340" s="48" t="s">
        <v>1544</v>
      </c>
      <c r="E340" s="49" t="s">
        <v>724</v>
      </c>
      <c r="F340" s="49" t="s">
        <v>725</v>
      </c>
      <c r="G340" s="47" t="e">
        <v>#N/A</v>
      </c>
      <c r="H340" s="47" t="s">
        <v>94</v>
      </c>
      <c r="I340" s="40" t="s">
        <v>720</v>
      </c>
      <c r="J340" s="40" t="s">
        <v>1732</v>
      </c>
      <c r="K340" s="40" t="s">
        <v>721</v>
      </c>
      <c r="L340" s="40" t="s">
        <v>656</v>
      </c>
      <c r="M340" s="11"/>
      <c r="N340" s="11"/>
      <c r="O340" s="50">
        <v>15.552000000000001</v>
      </c>
      <c r="R340" s="9">
        <f>IFERROR(VLOOKUP(E340,Sheet6!$A$2:$B$500,2,FALSE),0)</f>
        <v>0</v>
      </c>
      <c r="S340" s="41">
        <f>IFERROR(VLOOKUP(E340,Sheet6!$C$2:$D$35017,2,FALSE),0)</f>
        <v>0</v>
      </c>
      <c r="U340" s="9">
        <f>IFERROR(VLOOKUP(E340,Sheet2!$AA$1:$AB$975,2,FALSE),0)</f>
        <v>0</v>
      </c>
      <c r="V340" s="41">
        <f>IFERROR(VLOOKUP(E340,Sheet2!$AC$1:$AD$975,2,FALSE),0)</f>
        <v>0</v>
      </c>
      <c r="W340" s="42">
        <f>IFERROR(VLOOKUP(E340,Sheet2!$AE$1:$AF$975,2,FALSE),0)</f>
        <v>0</v>
      </c>
      <c r="X340" s="43">
        <f>IFERROR(VLOOKUP(E340,Sheet2!$AG$1:$AH$975,2,FALSE),0)</f>
        <v>0</v>
      </c>
      <c r="Z340" s="60">
        <f>IFERROR(VLOOKUP(F340,Sheet2!$AA$1:$AB$975,2,FALSE),0)</f>
        <v>0</v>
      </c>
      <c r="AA340" s="64">
        <f>IFERROR(VLOOKUP(F340,Sheet2!$AC$1:$AD$975,2,FALSE),0)</f>
        <v>0</v>
      </c>
      <c r="AB340" s="65">
        <f>IFERROR(VLOOKUP(F340,Sheet2!$AE$2:$AF$6539,2,FALSE),0)</f>
        <v>0</v>
      </c>
      <c r="AC340" s="43">
        <f>IFERROR(VLOOKUP(F340,Sheet2!$AG$2:$AH$6539,2,FALSE),0)</f>
        <v>0</v>
      </c>
      <c r="AE340" s="112">
        <v>7</v>
      </c>
      <c r="AF340" s="9">
        <v>0</v>
      </c>
      <c r="AG340" s="9">
        <v>0</v>
      </c>
      <c r="AH340" s="9">
        <v>0</v>
      </c>
      <c r="AI340" s="9">
        <v>0</v>
      </c>
      <c r="AJ340" s="9">
        <f t="shared" si="12"/>
        <v>7</v>
      </c>
      <c r="AK340" s="45">
        <f t="shared" si="13"/>
        <v>108.864</v>
      </c>
      <c r="AL340" s="68">
        <v>0</v>
      </c>
      <c r="AM340" s="68">
        <v>0</v>
      </c>
    </row>
    <row r="341" spans="1:39" x14ac:dyDescent="0.2">
      <c r="A341" s="57" t="s">
        <v>2082</v>
      </c>
      <c r="B341" s="47">
        <v>46173</v>
      </c>
      <c r="C341" s="48"/>
      <c r="D341" s="48" t="s">
        <v>1545</v>
      </c>
      <c r="E341" s="49" t="s">
        <v>726</v>
      </c>
      <c r="F341" s="49" t="s">
        <v>727</v>
      </c>
      <c r="G341" s="47" t="e">
        <v>#N/A</v>
      </c>
      <c r="H341" s="47" t="s">
        <v>94</v>
      </c>
      <c r="I341" s="40" t="s">
        <v>728</v>
      </c>
      <c r="J341" s="40" t="s">
        <v>1830</v>
      </c>
      <c r="K341" s="40" t="s">
        <v>24</v>
      </c>
      <c r="L341" s="40" t="s">
        <v>637</v>
      </c>
      <c r="M341" s="11"/>
      <c r="N341" s="11"/>
      <c r="O341" s="50">
        <v>12.96</v>
      </c>
      <c r="R341" s="9">
        <f>IFERROR(VLOOKUP(E341,Sheet6!$A$2:$B$500,2,FALSE),0)</f>
        <v>0</v>
      </c>
      <c r="S341" s="41">
        <f>IFERROR(VLOOKUP(E341,Sheet6!$C$2:$D$35017,2,FALSE),0)</f>
        <v>0</v>
      </c>
      <c r="U341" s="9">
        <f>IFERROR(VLOOKUP(E341,Sheet2!$AA$1:$AB$975,2,FALSE),0)</f>
        <v>0</v>
      </c>
      <c r="V341" s="41">
        <f>IFERROR(VLOOKUP(E341,Sheet2!$AC$1:$AD$975,2,FALSE),0)</f>
        <v>0</v>
      </c>
      <c r="W341" s="42">
        <f>IFERROR(VLOOKUP(E341,Sheet2!$AE$1:$AF$975,2,FALSE),0)</f>
        <v>0</v>
      </c>
      <c r="X341" s="43">
        <f>IFERROR(VLOOKUP(E341,Sheet2!$AG$1:$AH$975,2,FALSE),0)</f>
        <v>0</v>
      </c>
      <c r="Z341" s="60">
        <f>IFERROR(VLOOKUP(F341,Sheet2!$AA$1:$AB$975,2,FALSE),0)</f>
        <v>7</v>
      </c>
      <c r="AA341" s="64">
        <f>IFERROR(VLOOKUP(F341,Sheet2!$AC$1:$AD$975,2,FALSE),0)</f>
        <v>210</v>
      </c>
      <c r="AB341" s="65">
        <f>IFERROR(VLOOKUP(F341,Sheet2!$AE$2:$AF$6539,2,FALSE),0)</f>
        <v>81</v>
      </c>
      <c r="AC341" s="43">
        <f>IFERROR(VLOOKUP(F341,Sheet2!$AG$2:$AH$6539,2,FALSE),0)</f>
        <v>0.96299999999999997</v>
      </c>
      <c r="AE341" s="112">
        <v>8</v>
      </c>
      <c r="AF341" s="9">
        <v>13</v>
      </c>
      <c r="AG341" s="9">
        <v>0</v>
      </c>
      <c r="AH341" s="9">
        <v>0</v>
      </c>
      <c r="AI341" s="9">
        <v>13</v>
      </c>
      <c r="AJ341" s="9">
        <f t="shared" si="12"/>
        <v>21</v>
      </c>
      <c r="AK341" s="45">
        <f t="shared" si="13"/>
        <v>272.16000000000003</v>
      </c>
      <c r="AL341" s="68">
        <v>0</v>
      </c>
      <c r="AM341" s="68">
        <v>0</v>
      </c>
    </row>
    <row r="342" spans="1:39" x14ac:dyDescent="0.2">
      <c r="A342" s="57" t="s">
        <v>2082</v>
      </c>
      <c r="B342" s="47">
        <v>46173</v>
      </c>
      <c r="C342" s="48"/>
      <c r="D342" s="48" t="s">
        <v>1546</v>
      </c>
      <c r="E342" s="49" t="s">
        <v>729</v>
      </c>
      <c r="F342" s="49" t="s">
        <v>730</v>
      </c>
      <c r="G342" s="47" t="e">
        <v>#N/A</v>
      </c>
      <c r="H342" s="47" t="s">
        <v>94</v>
      </c>
      <c r="I342" s="40" t="s">
        <v>728</v>
      </c>
      <c r="J342" s="40" t="s">
        <v>1830</v>
      </c>
      <c r="K342" s="40" t="s">
        <v>24</v>
      </c>
      <c r="L342" s="40" t="s">
        <v>644</v>
      </c>
      <c r="M342" s="11"/>
      <c r="N342" s="11"/>
      <c r="O342" s="50">
        <v>12.96</v>
      </c>
      <c r="R342" s="9">
        <f>IFERROR(VLOOKUP(E342,Sheet6!$A$2:$B$500,2,FALSE),0)</f>
        <v>0</v>
      </c>
      <c r="S342" s="41">
        <f>IFERROR(VLOOKUP(E342,Sheet6!$C$2:$D$35017,2,FALSE),0)</f>
        <v>0</v>
      </c>
      <c r="U342" s="9">
        <f>IFERROR(VLOOKUP(E342,Sheet2!$AA$1:$AB$975,2,FALSE),0)</f>
        <v>0</v>
      </c>
      <c r="V342" s="41">
        <f>IFERROR(VLOOKUP(E342,Sheet2!$AC$1:$AD$975,2,FALSE),0)</f>
        <v>0</v>
      </c>
      <c r="W342" s="42">
        <f>IFERROR(VLOOKUP(E342,Sheet2!$AE$1:$AF$975,2,FALSE),0)</f>
        <v>0</v>
      </c>
      <c r="X342" s="43">
        <f>IFERROR(VLOOKUP(E342,Sheet2!$AG$1:$AH$975,2,FALSE),0)</f>
        <v>0</v>
      </c>
      <c r="Z342" s="60">
        <f>IFERROR(VLOOKUP(F342,Sheet2!$AA$1:$AB$975,2,FALSE),0)</f>
        <v>5</v>
      </c>
      <c r="AA342" s="64">
        <f>IFERROR(VLOOKUP(F342,Sheet2!$AC$1:$AD$975,2,FALSE),0)</f>
        <v>150</v>
      </c>
      <c r="AB342" s="65">
        <f>IFERROR(VLOOKUP(F342,Sheet2!$AE$2:$AF$6539,2,FALSE),0)</f>
        <v>36</v>
      </c>
      <c r="AC342" s="43">
        <f>IFERROR(VLOOKUP(F342,Sheet2!$AG$2:$AH$6539,2,FALSE),0)</f>
        <v>0.93879999999999997</v>
      </c>
      <c r="AE342" s="112">
        <v>10</v>
      </c>
      <c r="AF342" s="9">
        <v>10</v>
      </c>
      <c r="AG342" s="9">
        <v>0</v>
      </c>
      <c r="AH342" s="9">
        <v>0</v>
      </c>
      <c r="AI342" s="9">
        <v>10</v>
      </c>
      <c r="AJ342" s="9">
        <f t="shared" si="12"/>
        <v>20</v>
      </c>
      <c r="AK342" s="45">
        <f t="shared" si="13"/>
        <v>259.20000000000005</v>
      </c>
      <c r="AL342" s="68">
        <v>6</v>
      </c>
      <c r="AM342" s="68">
        <v>0</v>
      </c>
    </row>
    <row r="343" spans="1:39" x14ac:dyDescent="0.2">
      <c r="A343" s="57" t="s">
        <v>2082</v>
      </c>
      <c r="B343" s="47">
        <v>46173</v>
      </c>
      <c r="C343" s="48"/>
      <c r="D343" s="48" t="s">
        <v>1547</v>
      </c>
      <c r="E343" s="49" t="s">
        <v>731</v>
      </c>
      <c r="F343" s="49" t="s">
        <v>732</v>
      </c>
      <c r="G343" s="47" t="e">
        <v>#N/A</v>
      </c>
      <c r="H343" s="47" t="s">
        <v>94</v>
      </c>
      <c r="I343" s="40" t="s">
        <v>728</v>
      </c>
      <c r="J343" s="40" t="s">
        <v>1830</v>
      </c>
      <c r="K343" s="40" t="s">
        <v>191</v>
      </c>
      <c r="L343" s="40" t="s">
        <v>637</v>
      </c>
      <c r="M343" s="11"/>
      <c r="N343" s="11"/>
      <c r="O343" s="50">
        <v>12.96</v>
      </c>
      <c r="R343" s="9">
        <f>IFERROR(VLOOKUP(E343,Sheet6!$A$2:$B$500,2,FALSE),0)</f>
        <v>0</v>
      </c>
      <c r="S343" s="41">
        <f>IFERROR(VLOOKUP(E343,Sheet6!$C$2:$D$35017,2,FALSE),0)</f>
        <v>0</v>
      </c>
      <c r="U343" s="9">
        <f>IFERROR(VLOOKUP(E343,Sheet2!$AA$1:$AB$975,2,FALSE),0)</f>
        <v>0</v>
      </c>
      <c r="V343" s="41">
        <f>IFERROR(VLOOKUP(E343,Sheet2!$AC$1:$AD$975,2,FALSE),0)</f>
        <v>0</v>
      </c>
      <c r="W343" s="42">
        <f>IFERROR(VLOOKUP(E343,Sheet2!$AE$1:$AF$975,2,FALSE),0)</f>
        <v>0</v>
      </c>
      <c r="X343" s="43">
        <f>IFERROR(VLOOKUP(E343,Sheet2!$AG$1:$AH$975,2,FALSE),0)</f>
        <v>0</v>
      </c>
      <c r="Z343" s="60">
        <f>IFERROR(VLOOKUP(F343,Sheet2!$AA$1:$AB$975,2,FALSE),0)</f>
        <v>3</v>
      </c>
      <c r="AA343" s="64">
        <f>IFERROR(VLOOKUP(F343,Sheet2!$AC$1:$AD$975,2,FALSE),0)</f>
        <v>90</v>
      </c>
      <c r="AB343" s="65">
        <f>IFERROR(VLOOKUP(F343,Sheet2!$AE$2:$AF$6539,2,FALSE),0)</f>
        <v>64</v>
      </c>
      <c r="AC343" s="43">
        <f>IFERROR(VLOOKUP(F343,Sheet2!$AG$2:$AH$6539,2,FALSE),0)</f>
        <v>1</v>
      </c>
      <c r="AE343" s="112">
        <v>12</v>
      </c>
      <c r="AF343" s="9">
        <v>12</v>
      </c>
      <c r="AG343" s="9">
        <v>0</v>
      </c>
      <c r="AH343" s="9">
        <v>1</v>
      </c>
      <c r="AI343" s="9">
        <v>13</v>
      </c>
      <c r="AJ343" s="9">
        <f t="shared" si="12"/>
        <v>25</v>
      </c>
      <c r="AK343" s="45">
        <f t="shared" si="13"/>
        <v>324</v>
      </c>
      <c r="AL343" s="68">
        <v>0</v>
      </c>
      <c r="AM343" s="68">
        <v>12</v>
      </c>
    </row>
    <row r="344" spans="1:39" x14ac:dyDescent="0.2">
      <c r="A344" s="57" t="s">
        <v>2082</v>
      </c>
      <c r="B344" s="47">
        <v>46173</v>
      </c>
      <c r="C344" s="48"/>
      <c r="D344" s="48" t="s">
        <v>1548</v>
      </c>
      <c r="E344" s="49" t="s">
        <v>733</v>
      </c>
      <c r="F344" s="49" t="s">
        <v>734</v>
      </c>
      <c r="G344" s="47" t="e">
        <v>#N/A</v>
      </c>
      <c r="H344" s="47" t="s">
        <v>94</v>
      </c>
      <c r="I344" s="40" t="s">
        <v>728</v>
      </c>
      <c r="J344" s="40" t="s">
        <v>1830</v>
      </c>
      <c r="K344" s="40" t="s">
        <v>602</v>
      </c>
      <c r="L344" s="40" t="s">
        <v>637</v>
      </c>
      <c r="M344" s="11"/>
      <c r="N344" s="11"/>
      <c r="O344" s="50">
        <v>12.96</v>
      </c>
      <c r="R344" s="9">
        <f>IFERROR(VLOOKUP(E344,Sheet6!$A$2:$B$500,2,FALSE),0)</f>
        <v>0</v>
      </c>
      <c r="S344" s="41">
        <f>IFERROR(VLOOKUP(E344,Sheet6!$C$2:$D$35017,2,FALSE),0)</f>
        <v>0</v>
      </c>
      <c r="U344" s="9">
        <f>IFERROR(VLOOKUP(E344,Sheet2!$AA$1:$AB$975,2,FALSE),0)</f>
        <v>0</v>
      </c>
      <c r="V344" s="41">
        <f>IFERROR(VLOOKUP(E344,Sheet2!$AC$1:$AD$975,2,FALSE),0)</f>
        <v>0</v>
      </c>
      <c r="W344" s="42">
        <f>IFERROR(VLOOKUP(E344,Sheet2!$AE$1:$AF$975,2,FALSE),0)</f>
        <v>0</v>
      </c>
      <c r="X344" s="43">
        <f>IFERROR(VLOOKUP(E344,Sheet2!$AG$1:$AH$975,2,FALSE),0)</f>
        <v>0</v>
      </c>
      <c r="Z344" s="60">
        <f>IFERROR(VLOOKUP(F344,Sheet2!$AA$1:$AB$975,2,FALSE),0)</f>
        <v>6</v>
      </c>
      <c r="AA344" s="64">
        <f>IFERROR(VLOOKUP(F344,Sheet2!$AC$1:$AD$975,2,FALSE),0)</f>
        <v>180</v>
      </c>
      <c r="AB344" s="65">
        <f>IFERROR(VLOOKUP(F344,Sheet2!$AE$2:$AF$6539,2,FALSE),0)</f>
        <v>63</v>
      </c>
      <c r="AC344" s="43">
        <f>IFERROR(VLOOKUP(F344,Sheet2!$AG$2:$AH$6539,2,FALSE),0)</f>
        <v>0.98650000000000004</v>
      </c>
      <c r="AE344" s="112">
        <v>10</v>
      </c>
      <c r="AF344" s="9">
        <v>13</v>
      </c>
      <c r="AG344" s="9">
        <v>0</v>
      </c>
      <c r="AH344" s="9">
        <v>0</v>
      </c>
      <c r="AI344" s="9">
        <v>13</v>
      </c>
      <c r="AJ344" s="9">
        <f t="shared" si="12"/>
        <v>23</v>
      </c>
      <c r="AK344" s="45">
        <f t="shared" si="13"/>
        <v>298.08000000000004</v>
      </c>
      <c r="AL344" s="68">
        <v>0</v>
      </c>
      <c r="AM344" s="68">
        <v>0</v>
      </c>
    </row>
    <row r="345" spans="1:39" x14ac:dyDescent="0.2">
      <c r="A345" s="57" t="s">
        <v>2082</v>
      </c>
      <c r="B345" s="47">
        <v>46173</v>
      </c>
      <c r="C345" s="48"/>
      <c r="D345" s="48" t="s">
        <v>1549</v>
      </c>
      <c r="E345" s="49" t="s">
        <v>735</v>
      </c>
      <c r="F345" s="49" t="s">
        <v>736</v>
      </c>
      <c r="G345" s="47" t="e">
        <v>#N/A</v>
      </c>
      <c r="H345" s="47" t="s">
        <v>94</v>
      </c>
      <c r="I345" s="40" t="s">
        <v>728</v>
      </c>
      <c r="J345" s="40" t="s">
        <v>1830</v>
      </c>
      <c r="K345" s="40" t="s">
        <v>602</v>
      </c>
      <c r="L345" s="40" t="s">
        <v>644</v>
      </c>
      <c r="M345" s="11"/>
      <c r="N345" s="11"/>
      <c r="O345" s="50">
        <v>12.96</v>
      </c>
      <c r="R345" s="9">
        <f>IFERROR(VLOOKUP(E345,Sheet6!$A$2:$B$500,2,FALSE),0)</f>
        <v>0</v>
      </c>
      <c r="S345" s="41">
        <f>IFERROR(VLOOKUP(E345,Sheet6!$C$2:$D$35017,2,FALSE),0)</f>
        <v>0</v>
      </c>
      <c r="U345" s="9">
        <f>IFERROR(VLOOKUP(E345,Sheet2!$AA$1:$AB$975,2,FALSE),0)</f>
        <v>0</v>
      </c>
      <c r="V345" s="41">
        <f>IFERROR(VLOOKUP(E345,Sheet2!$AC$1:$AD$975,2,FALSE),0)</f>
        <v>0</v>
      </c>
      <c r="W345" s="42">
        <f>IFERROR(VLOOKUP(E345,Sheet2!$AE$1:$AF$975,2,FALSE),0)</f>
        <v>0</v>
      </c>
      <c r="X345" s="43">
        <f>IFERROR(VLOOKUP(E345,Sheet2!$AG$1:$AH$975,2,FALSE),0)</f>
        <v>0</v>
      </c>
      <c r="Z345" s="60">
        <f>IFERROR(VLOOKUP(F345,Sheet2!$AA$1:$AB$975,2,FALSE),0)</f>
        <v>11</v>
      </c>
      <c r="AA345" s="64">
        <f>IFERROR(VLOOKUP(F345,Sheet2!$AC$1:$AD$975,2,FALSE),0)</f>
        <v>330</v>
      </c>
      <c r="AB345" s="65">
        <f>IFERROR(VLOOKUP(F345,Sheet2!$AE$2:$AF$6539,2,FALSE),0)</f>
        <v>67</v>
      </c>
      <c r="AC345" s="43">
        <f>IFERROR(VLOOKUP(F345,Sheet2!$AG$2:$AH$6539,2,FALSE),0)</f>
        <v>0.97699999999999998</v>
      </c>
      <c r="AE345" s="112">
        <v>9</v>
      </c>
      <c r="AF345" s="9">
        <v>0</v>
      </c>
      <c r="AG345" s="9">
        <v>0</v>
      </c>
      <c r="AH345" s="9">
        <v>0</v>
      </c>
      <c r="AI345" s="9">
        <v>0</v>
      </c>
      <c r="AJ345" s="9">
        <f t="shared" si="12"/>
        <v>9</v>
      </c>
      <c r="AK345" s="45">
        <f t="shared" si="13"/>
        <v>116.64000000000001</v>
      </c>
      <c r="AL345" s="68">
        <v>12</v>
      </c>
      <c r="AM345" s="68">
        <v>0</v>
      </c>
    </row>
    <row r="346" spans="1:39" x14ac:dyDescent="0.2">
      <c r="A346" s="57" t="s">
        <v>2082</v>
      </c>
      <c r="B346" s="47">
        <v>46173</v>
      </c>
      <c r="C346" s="48"/>
      <c r="D346" s="48" t="s">
        <v>1550</v>
      </c>
      <c r="E346" s="49" t="s">
        <v>737</v>
      </c>
      <c r="F346" s="49" t="s">
        <v>738</v>
      </c>
      <c r="G346" s="47" t="e">
        <v>#N/A</v>
      </c>
      <c r="H346" s="47" t="s">
        <v>94</v>
      </c>
      <c r="I346" s="40" t="s">
        <v>739</v>
      </c>
      <c r="J346" s="40" t="s">
        <v>1832</v>
      </c>
      <c r="K346" s="40" t="s">
        <v>237</v>
      </c>
      <c r="L346" s="40" t="s">
        <v>637</v>
      </c>
      <c r="M346" s="11"/>
      <c r="N346" s="11"/>
      <c r="O346" s="50">
        <v>14.688000000000001</v>
      </c>
      <c r="R346" s="9">
        <f>IFERROR(VLOOKUP(E346,Sheet6!$A$2:$B$500,2,FALSE),0)</f>
        <v>0</v>
      </c>
      <c r="S346" s="41">
        <f>IFERROR(VLOOKUP(E346,Sheet6!$C$2:$D$35017,2,FALSE),0)</f>
        <v>0</v>
      </c>
      <c r="U346" s="9">
        <f>IFERROR(VLOOKUP(E346,Sheet2!$AA$1:$AB$975,2,FALSE),0)</f>
        <v>0</v>
      </c>
      <c r="V346" s="41">
        <f>IFERROR(VLOOKUP(E346,Sheet2!$AC$1:$AD$975,2,FALSE),0)</f>
        <v>0</v>
      </c>
      <c r="W346" s="42">
        <f>IFERROR(VLOOKUP(E346,Sheet2!$AE$1:$AF$975,2,FALSE),0)</f>
        <v>0</v>
      </c>
      <c r="X346" s="43">
        <f>IFERROR(VLOOKUP(E346,Sheet2!$AG$1:$AH$975,2,FALSE),0)</f>
        <v>0</v>
      </c>
      <c r="Z346" s="60">
        <f>IFERROR(VLOOKUP(F346,Sheet2!$AA$1:$AB$975,2,FALSE),0)</f>
        <v>0</v>
      </c>
      <c r="AA346" s="64">
        <f>IFERROR(VLOOKUP(F346,Sheet2!$AC$1:$AD$975,2,FALSE),0)</f>
        <v>0</v>
      </c>
      <c r="AB346" s="65">
        <f>IFERROR(VLOOKUP(F346,Sheet2!$AE$2:$AF$6539,2,FALSE),0)</f>
        <v>0</v>
      </c>
      <c r="AC346" s="43">
        <f>IFERROR(VLOOKUP(F346,Sheet2!$AG$2:$AH$6539,2,FALSE),0)</f>
        <v>0</v>
      </c>
      <c r="AE346" s="112">
        <v>8</v>
      </c>
      <c r="AF346" s="9">
        <v>0</v>
      </c>
      <c r="AG346" s="9">
        <v>0</v>
      </c>
      <c r="AH346" s="9">
        <v>0</v>
      </c>
      <c r="AI346" s="9">
        <v>0</v>
      </c>
      <c r="AJ346" s="9">
        <f t="shared" si="12"/>
        <v>8</v>
      </c>
      <c r="AK346" s="45">
        <f t="shared" si="13"/>
        <v>117.504</v>
      </c>
      <c r="AL346" s="68">
        <v>0</v>
      </c>
      <c r="AM346" s="68">
        <v>0</v>
      </c>
    </row>
    <row r="347" spans="1:39" x14ac:dyDescent="0.2">
      <c r="A347" s="57" t="s">
        <v>2082</v>
      </c>
      <c r="B347" s="47">
        <v>46173</v>
      </c>
      <c r="C347" s="48"/>
      <c r="D347" s="48" t="s">
        <v>1551</v>
      </c>
      <c r="E347" s="49" t="s">
        <v>740</v>
      </c>
      <c r="F347" s="49" t="s">
        <v>741</v>
      </c>
      <c r="G347" s="47" t="e">
        <v>#N/A</v>
      </c>
      <c r="H347" s="47" t="s">
        <v>94</v>
      </c>
      <c r="I347" s="40" t="s">
        <v>739</v>
      </c>
      <c r="J347" s="40" t="s">
        <v>1832</v>
      </c>
      <c r="K347" s="40" t="s">
        <v>237</v>
      </c>
      <c r="L347" s="40" t="s">
        <v>644</v>
      </c>
      <c r="M347" s="11"/>
      <c r="N347" s="11"/>
      <c r="O347" s="50">
        <v>14.688000000000001</v>
      </c>
      <c r="R347" s="9">
        <f>IFERROR(VLOOKUP(E347,Sheet6!$A$2:$B$500,2,FALSE),0)</f>
        <v>1</v>
      </c>
      <c r="S347" s="41">
        <f>IFERROR(VLOOKUP(E347,Sheet6!$C$2:$D$35017,2,FALSE),0)</f>
        <v>34</v>
      </c>
      <c r="U347" s="9">
        <f>IFERROR(VLOOKUP(E347,Sheet2!$AA$1:$AB$975,2,FALSE),0)</f>
        <v>0</v>
      </c>
      <c r="V347" s="41">
        <f>IFERROR(VLOOKUP(E347,Sheet2!$AC$1:$AD$975,2,FALSE),0)</f>
        <v>0</v>
      </c>
      <c r="W347" s="42">
        <f>IFERROR(VLOOKUP(E347,Sheet2!$AE$1:$AF$975,2,FALSE),0)</f>
        <v>0</v>
      </c>
      <c r="X347" s="43">
        <f>IFERROR(VLOOKUP(E347,Sheet2!$AG$1:$AH$975,2,FALSE),0)</f>
        <v>0</v>
      </c>
      <c r="Z347" s="60">
        <f>IFERROR(VLOOKUP(F347,Sheet2!$AA$1:$AB$975,2,FALSE),0)</f>
        <v>0</v>
      </c>
      <c r="AA347" s="64">
        <f>IFERROR(VLOOKUP(F347,Sheet2!$AC$1:$AD$975,2,FALSE),0)</f>
        <v>0</v>
      </c>
      <c r="AB347" s="65">
        <f>IFERROR(VLOOKUP(F347,Sheet2!$AE$2:$AF$6539,2,FALSE),0)</f>
        <v>0</v>
      </c>
      <c r="AC347" s="43">
        <f>IFERROR(VLOOKUP(F347,Sheet2!$AG$2:$AH$6539,2,FALSE),0)</f>
        <v>0</v>
      </c>
      <c r="AE347" s="112">
        <v>10</v>
      </c>
      <c r="AF347" s="9">
        <v>0</v>
      </c>
      <c r="AG347" s="9">
        <v>0</v>
      </c>
      <c r="AH347" s="9">
        <v>0</v>
      </c>
      <c r="AI347" s="9">
        <v>0</v>
      </c>
      <c r="AJ347" s="9">
        <f t="shared" si="12"/>
        <v>10</v>
      </c>
      <c r="AK347" s="45">
        <f t="shared" si="13"/>
        <v>146.88</v>
      </c>
      <c r="AL347" s="68">
        <v>0</v>
      </c>
      <c r="AM347" s="68">
        <v>0</v>
      </c>
    </row>
    <row r="348" spans="1:39" x14ac:dyDescent="0.2">
      <c r="A348" s="57" t="s">
        <v>2082</v>
      </c>
      <c r="B348" s="47">
        <v>46173</v>
      </c>
      <c r="C348" s="48"/>
      <c r="D348" s="48" t="s">
        <v>1552</v>
      </c>
      <c r="E348" s="49" t="s">
        <v>742</v>
      </c>
      <c r="F348" s="49" t="s">
        <v>743</v>
      </c>
      <c r="G348" s="47" t="e">
        <v>#N/A</v>
      </c>
      <c r="H348" s="47" t="s">
        <v>94</v>
      </c>
      <c r="I348" s="40" t="s">
        <v>739</v>
      </c>
      <c r="J348" s="40" t="s">
        <v>1832</v>
      </c>
      <c r="K348" s="40" t="s">
        <v>744</v>
      </c>
      <c r="L348" s="40" t="s">
        <v>637</v>
      </c>
      <c r="M348" s="11"/>
      <c r="N348" s="11"/>
      <c r="O348" s="50">
        <v>14.688000000000001</v>
      </c>
      <c r="R348" s="9">
        <f>IFERROR(VLOOKUP(E348,Sheet6!$A$2:$B$500,2,FALSE),0)</f>
        <v>0</v>
      </c>
      <c r="S348" s="41">
        <f>IFERROR(VLOOKUP(E348,Sheet6!$C$2:$D$35017,2,FALSE),0)</f>
        <v>0</v>
      </c>
      <c r="U348" s="9">
        <f>IFERROR(VLOOKUP(E348,Sheet2!$AA$1:$AB$975,2,FALSE),0)</f>
        <v>0</v>
      </c>
      <c r="V348" s="41">
        <f>IFERROR(VLOOKUP(E348,Sheet2!$AC$1:$AD$975,2,FALSE),0)</f>
        <v>0</v>
      </c>
      <c r="W348" s="42">
        <f>IFERROR(VLOOKUP(E348,Sheet2!$AE$1:$AF$975,2,FALSE),0)</f>
        <v>0</v>
      </c>
      <c r="X348" s="43">
        <f>IFERROR(VLOOKUP(E348,Sheet2!$AG$1:$AH$975,2,FALSE),0)</f>
        <v>0</v>
      </c>
      <c r="Z348" s="60">
        <f>IFERROR(VLOOKUP(F348,Sheet2!$AA$1:$AB$975,2,FALSE),0)</f>
        <v>0</v>
      </c>
      <c r="AA348" s="64">
        <f>IFERROR(VLOOKUP(F348,Sheet2!$AC$1:$AD$975,2,FALSE),0)</f>
        <v>0</v>
      </c>
      <c r="AB348" s="65">
        <f>IFERROR(VLOOKUP(F348,Sheet2!$AE$2:$AF$6539,2,FALSE),0)</f>
        <v>0</v>
      </c>
      <c r="AC348" s="43">
        <f>IFERROR(VLOOKUP(F348,Sheet2!$AG$2:$AH$6539,2,FALSE),0)</f>
        <v>0</v>
      </c>
      <c r="AE348" s="112">
        <v>9</v>
      </c>
      <c r="AF348" s="9">
        <v>0</v>
      </c>
      <c r="AG348" s="9">
        <v>0</v>
      </c>
      <c r="AH348" s="9">
        <v>0</v>
      </c>
      <c r="AI348" s="9">
        <v>0</v>
      </c>
      <c r="AJ348" s="9">
        <f t="shared" si="12"/>
        <v>9</v>
      </c>
      <c r="AK348" s="45">
        <f t="shared" si="13"/>
        <v>132.19200000000001</v>
      </c>
      <c r="AL348" s="68">
        <v>0</v>
      </c>
      <c r="AM348" s="68">
        <v>0</v>
      </c>
    </row>
    <row r="349" spans="1:39" x14ac:dyDescent="0.2">
      <c r="A349" s="57" t="s">
        <v>2082</v>
      </c>
      <c r="B349" s="47">
        <v>46173</v>
      </c>
      <c r="C349" s="48"/>
      <c r="D349" s="48" t="s">
        <v>1553</v>
      </c>
      <c r="E349" s="49" t="s">
        <v>745</v>
      </c>
      <c r="F349" s="49" t="s">
        <v>746</v>
      </c>
      <c r="G349" s="47" t="e">
        <v>#N/A</v>
      </c>
      <c r="H349" s="47" t="s">
        <v>94</v>
      </c>
      <c r="I349" s="40" t="s">
        <v>747</v>
      </c>
      <c r="J349" s="40" t="s">
        <v>1833</v>
      </c>
      <c r="K349" s="40" t="s">
        <v>621</v>
      </c>
      <c r="L349" s="40" t="s">
        <v>644</v>
      </c>
      <c r="M349" s="11"/>
      <c r="N349" s="11"/>
      <c r="O349" s="50">
        <v>15.552000000000001</v>
      </c>
      <c r="R349" s="9">
        <f>IFERROR(VLOOKUP(E349,Sheet6!$A$2:$B$500,2,FALSE),0)</f>
        <v>0</v>
      </c>
      <c r="S349" s="41">
        <f>IFERROR(VLOOKUP(E349,Sheet6!$C$2:$D$35017,2,FALSE),0)</f>
        <v>0</v>
      </c>
      <c r="U349" s="9">
        <f>IFERROR(VLOOKUP(E349,Sheet2!$AA$1:$AB$975,2,FALSE),0)</f>
        <v>0</v>
      </c>
      <c r="V349" s="41">
        <f>IFERROR(VLOOKUP(E349,Sheet2!$AC$1:$AD$975,2,FALSE),0)</f>
        <v>0</v>
      </c>
      <c r="W349" s="42">
        <f>IFERROR(VLOOKUP(E349,Sheet2!$AE$1:$AF$975,2,FALSE),0)</f>
        <v>0</v>
      </c>
      <c r="X349" s="43">
        <f>IFERROR(VLOOKUP(E349,Sheet2!$AG$1:$AH$975,2,FALSE),0)</f>
        <v>0</v>
      </c>
      <c r="Z349" s="60">
        <f>IFERROR(VLOOKUP(F349,Sheet2!$AA$1:$AB$975,2,FALSE),0)</f>
        <v>0</v>
      </c>
      <c r="AA349" s="64">
        <f>IFERROR(VLOOKUP(F349,Sheet2!$AC$1:$AD$975,2,FALSE),0)</f>
        <v>0</v>
      </c>
      <c r="AB349" s="65">
        <f>IFERROR(VLOOKUP(F349,Sheet2!$AE$2:$AF$6539,2,FALSE),0)</f>
        <v>0</v>
      </c>
      <c r="AC349" s="43">
        <f>IFERROR(VLOOKUP(F349,Sheet2!$AG$2:$AH$6539,2,FALSE),0)</f>
        <v>0</v>
      </c>
      <c r="AE349" s="112">
        <v>10</v>
      </c>
      <c r="AF349" s="9">
        <v>0</v>
      </c>
      <c r="AG349" s="9">
        <v>0</v>
      </c>
      <c r="AH349" s="9">
        <v>0</v>
      </c>
      <c r="AI349" s="9">
        <v>0</v>
      </c>
      <c r="AJ349" s="9">
        <f t="shared" si="12"/>
        <v>10</v>
      </c>
      <c r="AK349" s="45">
        <f t="shared" si="13"/>
        <v>155.52000000000001</v>
      </c>
      <c r="AL349" s="68">
        <v>0</v>
      </c>
      <c r="AM349" s="68">
        <v>0</v>
      </c>
    </row>
    <row r="350" spans="1:39" x14ac:dyDescent="0.2">
      <c r="A350" s="57" t="s">
        <v>2082</v>
      </c>
      <c r="B350" s="47">
        <v>46173</v>
      </c>
      <c r="C350" s="48"/>
      <c r="D350" s="48" t="s">
        <v>1554</v>
      </c>
      <c r="E350" s="49" t="s">
        <v>748</v>
      </c>
      <c r="F350" s="49" t="s">
        <v>749</v>
      </c>
      <c r="G350" s="47" t="e">
        <v>#N/A</v>
      </c>
      <c r="H350" s="47" t="s">
        <v>94</v>
      </c>
      <c r="I350" s="40" t="s">
        <v>747</v>
      </c>
      <c r="J350" s="40" t="s">
        <v>1833</v>
      </c>
      <c r="K350" s="40" t="s">
        <v>608</v>
      </c>
      <c r="L350" s="40" t="s">
        <v>637</v>
      </c>
      <c r="M350" s="11"/>
      <c r="N350" s="11"/>
      <c r="O350" s="50">
        <v>15.552000000000001</v>
      </c>
      <c r="R350" s="9">
        <f>IFERROR(VLOOKUP(E350,Sheet6!$A$2:$B$500,2,FALSE),0)</f>
        <v>0</v>
      </c>
      <c r="S350" s="41">
        <f>IFERROR(VLOOKUP(E350,Sheet6!$C$2:$D$35017,2,FALSE),0)</f>
        <v>0</v>
      </c>
      <c r="U350" s="9">
        <f>IFERROR(VLOOKUP(E350,Sheet2!$AA$1:$AB$975,2,FALSE),0)</f>
        <v>0</v>
      </c>
      <c r="V350" s="41">
        <f>IFERROR(VLOOKUP(E350,Sheet2!$AC$1:$AD$975,2,FALSE),0)</f>
        <v>0</v>
      </c>
      <c r="W350" s="42">
        <f>IFERROR(VLOOKUP(E350,Sheet2!$AE$1:$AF$975,2,FALSE),0)</f>
        <v>0</v>
      </c>
      <c r="X350" s="43">
        <f>IFERROR(VLOOKUP(E350,Sheet2!$AG$1:$AH$975,2,FALSE),0)</f>
        <v>0</v>
      </c>
      <c r="Z350" s="60">
        <f>IFERROR(VLOOKUP(F350,Sheet2!$AA$1:$AB$975,2,FALSE),0)</f>
        <v>0</v>
      </c>
      <c r="AA350" s="64">
        <f>IFERROR(VLOOKUP(F350,Sheet2!$AC$1:$AD$975,2,FALSE),0)</f>
        <v>0</v>
      </c>
      <c r="AB350" s="65">
        <f>IFERROR(VLOOKUP(F350,Sheet2!$AE$2:$AF$6539,2,FALSE),0)</f>
        <v>0</v>
      </c>
      <c r="AC350" s="43">
        <f>IFERROR(VLOOKUP(F350,Sheet2!$AG$2:$AH$6539,2,FALSE),0)</f>
        <v>0</v>
      </c>
      <c r="AE350" s="112">
        <v>12</v>
      </c>
      <c r="AF350" s="9">
        <v>0</v>
      </c>
      <c r="AG350" s="9">
        <v>0</v>
      </c>
      <c r="AH350" s="9">
        <v>0</v>
      </c>
      <c r="AI350" s="9">
        <v>0</v>
      </c>
      <c r="AJ350" s="9">
        <f t="shared" si="12"/>
        <v>12</v>
      </c>
      <c r="AK350" s="45">
        <f t="shared" si="13"/>
        <v>186.62400000000002</v>
      </c>
      <c r="AL350" s="68">
        <v>0</v>
      </c>
      <c r="AM350" s="68">
        <v>0</v>
      </c>
    </row>
    <row r="351" spans="1:39" x14ac:dyDescent="0.2">
      <c r="A351" s="57" t="s">
        <v>2082</v>
      </c>
      <c r="B351" s="47">
        <v>46173</v>
      </c>
      <c r="C351" s="48"/>
      <c r="D351" s="48" t="s">
        <v>1555</v>
      </c>
      <c r="E351" s="49" t="s">
        <v>750</v>
      </c>
      <c r="F351" s="49" t="s">
        <v>751</v>
      </c>
      <c r="G351" s="47" t="e">
        <v>#N/A</v>
      </c>
      <c r="H351" s="47" t="s">
        <v>94</v>
      </c>
      <c r="I351" s="40" t="s">
        <v>747</v>
      </c>
      <c r="J351" s="40" t="s">
        <v>1833</v>
      </c>
      <c r="K351" s="40" t="s">
        <v>613</v>
      </c>
      <c r="L351" s="40" t="s">
        <v>637</v>
      </c>
      <c r="M351" s="11"/>
      <c r="N351" s="11"/>
      <c r="O351" s="50">
        <v>15.552000000000001</v>
      </c>
      <c r="R351" s="9">
        <f>IFERROR(VLOOKUP(E351,Sheet6!$A$2:$B$500,2,FALSE),0)</f>
        <v>0</v>
      </c>
      <c r="S351" s="41">
        <f>IFERROR(VLOOKUP(E351,Sheet6!$C$2:$D$35017,2,FALSE),0)</f>
        <v>0</v>
      </c>
      <c r="U351" s="9">
        <f>IFERROR(VLOOKUP(E351,Sheet2!$AA$1:$AB$975,2,FALSE),0)</f>
        <v>0</v>
      </c>
      <c r="V351" s="41">
        <f>IFERROR(VLOOKUP(E351,Sheet2!$AC$1:$AD$975,2,FALSE),0)</f>
        <v>0</v>
      </c>
      <c r="W351" s="42">
        <f>IFERROR(VLOOKUP(E351,Sheet2!$AE$1:$AF$975,2,FALSE),0)</f>
        <v>0</v>
      </c>
      <c r="X351" s="43">
        <f>IFERROR(VLOOKUP(E351,Sheet2!$AG$1:$AH$975,2,FALSE),0)</f>
        <v>0</v>
      </c>
      <c r="Z351" s="60">
        <f>IFERROR(VLOOKUP(F351,Sheet2!$AA$1:$AB$975,2,FALSE),0)</f>
        <v>0</v>
      </c>
      <c r="AA351" s="64">
        <f>IFERROR(VLOOKUP(F351,Sheet2!$AC$1:$AD$975,2,FALSE),0)</f>
        <v>0</v>
      </c>
      <c r="AB351" s="65">
        <f>IFERROR(VLOOKUP(F351,Sheet2!$AE$2:$AF$6539,2,FALSE),0)</f>
        <v>0</v>
      </c>
      <c r="AC351" s="43">
        <f>IFERROR(VLOOKUP(F351,Sheet2!$AG$2:$AH$6539,2,FALSE),0)</f>
        <v>0</v>
      </c>
      <c r="AE351" s="112">
        <v>18</v>
      </c>
      <c r="AF351" s="9">
        <v>0</v>
      </c>
      <c r="AG351" s="9">
        <v>0</v>
      </c>
      <c r="AH351" s="9">
        <v>0</v>
      </c>
      <c r="AI351" s="9">
        <v>0</v>
      </c>
      <c r="AJ351" s="9">
        <f t="shared" si="12"/>
        <v>18</v>
      </c>
      <c r="AK351" s="45">
        <f t="shared" si="13"/>
        <v>279.93600000000004</v>
      </c>
      <c r="AL351" s="68">
        <v>0</v>
      </c>
      <c r="AM351" s="68">
        <v>0</v>
      </c>
    </row>
    <row r="352" spans="1:39" x14ac:dyDescent="0.2">
      <c r="A352" s="57" t="s">
        <v>2082</v>
      </c>
      <c r="B352" s="47">
        <v>46173</v>
      </c>
      <c r="C352" s="48"/>
      <c r="D352" s="48" t="s">
        <v>1556</v>
      </c>
      <c r="E352" s="49" t="s">
        <v>752</v>
      </c>
      <c r="F352" s="49" t="s">
        <v>753</v>
      </c>
      <c r="G352" s="47" t="e">
        <v>#N/A</v>
      </c>
      <c r="H352" s="47" t="s">
        <v>94</v>
      </c>
      <c r="I352" s="40" t="s">
        <v>747</v>
      </c>
      <c r="J352" s="40" t="s">
        <v>1833</v>
      </c>
      <c r="K352" s="40" t="s">
        <v>613</v>
      </c>
      <c r="L352" s="40" t="s">
        <v>644</v>
      </c>
      <c r="M352" s="11"/>
      <c r="N352" s="11"/>
      <c r="O352" s="50">
        <v>15.552000000000001</v>
      </c>
      <c r="R352" s="9">
        <f>IFERROR(VLOOKUP(E352,Sheet6!$A$2:$B$500,2,FALSE),0)</f>
        <v>0</v>
      </c>
      <c r="S352" s="41">
        <f>IFERROR(VLOOKUP(E352,Sheet6!$C$2:$D$35017,2,FALSE),0)</f>
        <v>0</v>
      </c>
      <c r="U352" s="9">
        <f>IFERROR(VLOOKUP(E352,Sheet2!$AA$1:$AB$975,2,FALSE),0)</f>
        <v>0</v>
      </c>
      <c r="V352" s="41">
        <f>IFERROR(VLOOKUP(E352,Sheet2!$AC$1:$AD$975,2,FALSE),0)</f>
        <v>0</v>
      </c>
      <c r="W352" s="42">
        <f>IFERROR(VLOOKUP(E352,Sheet2!$AE$1:$AF$975,2,FALSE),0)</f>
        <v>0</v>
      </c>
      <c r="X352" s="43">
        <f>IFERROR(VLOOKUP(E352,Sheet2!$AG$1:$AH$975,2,FALSE),0)</f>
        <v>0</v>
      </c>
      <c r="Z352" s="60">
        <f>IFERROR(VLOOKUP(F352,Sheet2!$AA$1:$AB$975,2,FALSE),0)</f>
        <v>0</v>
      </c>
      <c r="AA352" s="64">
        <f>IFERROR(VLOOKUP(F352,Sheet2!$AC$1:$AD$975,2,FALSE),0)</f>
        <v>0</v>
      </c>
      <c r="AB352" s="65">
        <f>IFERROR(VLOOKUP(F352,Sheet2!$AE$2:$AF$6539,2,FALSE),0)</f>
        <v>0</v>
      </c>
      <c r="AC352" s="43">
        <f>IFERROR(VLOOKUP(F352,Sheet2!$AG$2:$AH$6539,2,FALSE),0)</f>
        <v>0</v>
      </c>
      <c r="AE352" s="112">
        <v>34</v>
      </c>
      <c r="AF352" s="9">
        <v>0</v>
      </c>
      <c r="AG352" s="9">
        <v>0</v>
      </c>
      <c r="AH352" s="9">
        <v>0</v>
      </c>
      <c r="AI352" s="9">
        <v>0</v>
      </c>
      <c r="AJ352" s="9">
        <f t="shared" si="12"/>
        <v>34</v>
      </c>
      <c r="AK352" s="45">
        <f t="shared" si="13"/>
        <v>528.76800000000003</v>
      </c>
      <c r="AL352" s="68">
        <v>0</v>
      </c>
      <c r="AM352" s="68">
        <v>0</v>
      </c>
    </row>
    <row r="353" spans="1:39" x14ac:dyDescent="0.2">
      <c r="A353" s="57" t="s">
        <v>2082</v>
      </c>
      <c r="B353" s="47">
        <v>46173</v>
      </c>
      <c r="C353" s="48"/>
      <c r="D353" s="48" t="s">
        <v>1800</v>
      </c>
      <c r="E353" s="49" t="s">
        <v>1737</v>
      </c>
      <c r="F353" s="40" t="s">
        <v>1765</v>
      </c>
      <c r="G353" s="47" t="e">
        <v>#N/A</v>
      </c>
      <c r="H353" s="47" t="s">
        <v>94</v>
      </c>
      <c r="I353" s="40" t="s">
        <v>1819</v>
      </c>
      <c r="J353" s="40" t="s">
        <v>1736</v>
      </c>
      <c r="K353" s="9" t="s">
        <v>24</v>
      </c>
      <c r="L353" s="9" t="s">
        <v>29</v>
      </c>
      <c r="M353" s="11"/>
      <c r="N353" s="11"/>
      <c r="O353" s="50">
        <v>16.2</v>
      </c>
      <c r="R353" s="9">
        <f>IFERROR(VLOOKUP(E353,Sheet6!$A$2:$B$500,2,FALSE),0)</f>
        <v>0</v>
      </c>
      <c r="S353" s="41">
        <f>IFERROR(VLOOKUP(E353,Sheet6!$C$2:$D$35017,2,FALSE),0)</f>
        <v>0</v>
      </c>
      <c r="U353" s="9">
        <f>IFERROR(VLOOKUP(E353,Sheet2!$AA$1:$AB$975,2,FALSE),0)</f>
        <v>0</v>
      </c>
      <c r="V353" s="41">
        <f>IFERROR(VLOOKUP(E353,Sheet2!$AC$1:$AD$975,2,FALSE),0)</f>
        <v>0</v>
      </c>
      <c r="W353" s="42">
        <f>IFERROR(VLOOKUP(E353,Sheet2!$AE$1:$AF$975,2,FALSE),0)</f>
        <v>0</v>
      </c>
      <c r="X353" s="43">
        <f>IFERROR(VLOOKUP(E353,Sheet2!$AG$1:$AH$975,2,FALSE),0)</f>
        <v>0</v>
      </c>
      <c r="Z353" s="60">
        <f>IFERROR(VLOOKUP(F353,Sheet2!$AA$1:$AB$975,2,FALSE),0)</f>
        <v>0</v>
      </c>
      <c r="AA353" s="64">
        <f>IFERROR(VLOOKUP(F353,Sheet2!$AC$1:$AD$975,2,FALSE),0)</f>
        <v>0</v>
      </c>
      <c r="AB353" s="65">
        <f>IFERROR(VLOOKUP(F353,Sheet2!$AE$2:$AF$6539,2,FALSE),0)</f>
        <v>0</v>
      </c>
      <c r="AC353" s="43">
        <f>IFERROR(VLOOKUP(F353,Sheet2!$AG$2:$AH$6539,2,FALSE),0)</f>
        <v>0</v>
      </c>
      <c r="AE353" s="112">
        <v>11</v>
      </c>
      <c r="AF353" s="9">
        <v>24</v>
      </c>
      <c r="AG353" s="9">
        <v>0</v>
      </c>
      <c r="AH353" s="9">
        <v>0</v>
      </c>
      <c r="AI353" s="9">
        <v>24</v>
      </c>
      <c r="AJ353" s="9">
        <f t="shared" si="12"/>
        <v>35</v>
      </c>
      <c r="AK353" s="45">
        <f t="shared" si="13"/>
        <v>567</v>
      </c>
      <c r="AL353" s="68">
        <v>0</v>
      </c>
      <c r="AM353" s="68">
        <v>0</v>
      </c>
    </row>
    <row r="354" spans="1:39" x14ac:dyDescent="0.2">
      <c r="A354" s="57" t="s">
        <v>2082</v>
      </c>
      <c r="B354" s="47">
        <v>46173</v>
      </c>
      <c r="C354" s="48"/>
      <c r="D354" s="48" t="s">
        <v>1801</v>
      </c>
      <c r="E354" s="49" t="s">
        <v>1783</v>
      </c>
      <c r="F354" s="40" t="s">
        <v>1766</v>
      </c>
      <c r="G354" s="47" t="e">
        <v>#N/A</v>
      </c>
      <c r="H354" s="47" t="s">
        <v>94</v>
      </c>
      <c r="I354" s="40" t="s">
        <v>1819</v>
      </c>
      <c r="J354" s="40" t="s">
        <v>1736</v>
      </c>
      <c r="K354" s="9" t="s">
        <v>24</v>
      </c>
      <c r="L354" s="9" t="s">
        <v>32</v>
      </c>
      <c r="M354" s="11"/>
      <c r="N354" s="11"/>
      <c r="O354" s="50">
        <v>16.2</v>
      </c>
      <c r="R354" s="9">
        <f>IFERROR(VLOOKUP(E354,Sheet6!$A$2:$B$500,2,FALSE),0)</f>
        <v>0</v>
      </c>
      <c r="S354" s="41">
        <f>IFERROR(VLOOKUP(E354,Sheet6!$C$2:$D$35017,2,FALSE),0)</f>
        <v>0</v>
      </c>
      <c r="U354" s="9">
        <f>IFERROR(VLOOKUP(E354,Sheet2!$AA$1:$AB$975,2,FALSE),0)</f>
        <v>1</v>
      </c>
      <c r="V354" s="41">
        <f>IFERROR(VLOOKUP(E354,Sheet2!$AC$1:$AD$975,2,FALSE),0)</f>
        <v>54</v>
      </c>
      <c r="W354" s="42">
        <f>IFERROR(VLOOKUP(E354,Sheet2!$AE$1:$AF$975,2,FALSE),0)</f>
        <v>28</v>
      </c>
      <c r="X354" s="43">
        <f>IFERROR(VLOOKUP(E354,Sheet2!$AG$1:$AH$975,2,FALSE),0)</f>
        <v>1</v>
      </c>
      <c r="Z354" s="60">
        <f>IFERROR(VLOOKUP(F354,Sheet2!$AA$1:$AB$975,2,FALSE),0)</f>
        <v>0</v>
      </c>
      <c r="AA354" s="64">
        <f>IFERROR(VLOOKUP(F354,Sheet2!$AC$1:$AD$975,2,FALSE),0)</f>
        <v>0</v>
      </c>
      <c r="AB354" s="65">
        <f>IFERROR(VLOOKUP(F354,Sheet2!$AE$2:$AF$6539,2,FALSE),0)</f>
        <v>0</v>
      </c>
      <c r="AC354" s="43">
        <f>IFERROR(VLOOKUP(F354,Sheet2!$AG$2:$AH$6539,2,FALSE),0)</f>
        <v>0</v>
      </c>
      <c r="AE354" s="112">
        <v>5</v>
      </c>
      <c r="AF354" s="9">
        <v>0</v>
      </c>
      <c r="AG354" s="9">
        <v>0</v>
      </c>
      <c r="AH354" s="9">
        <v>0</v>
      </c>
      <c r="AI354" s="9">
        <v>0</v>
      </c>
      <c r="AJ354" s="9">
        <f t="shared" si="12"/>
        <v>5</v>
      </c>
      <c r="AK354" s="45">
        <f t="shared" si="13"/>
        <v>81</v>
      </c>
      <c r="AL354" s="68">
        <v>0</v>
      </c>
      <c r="AM354" s="68">
        <v>0</v>
      </c>
    </row>
    <row r="355" spans="1:39" x14ac:dyDescent="0.2">
      <c r="A355" s="57" t="s">
        <v>2082</v>
      </c>
      <c r="B355" s="47">
        <v>46173</v>
      </c>
      <c r="C355" s="48"/>
      <c r="D355" s="48" t="s">
        <v>1802</v>
      </c>
      <c r="E355" s="49" t="s">
        <v>1784</v>
      </c>
      <c r="F355" s="40" t="s">
        <v>1767</v>
      </c>
      <c r="G355" s="47" t="e">
        <v>#N/A</v>
      </c>
      <c r="H355" s="47" t="s">
        <v>94</v>
      </c>
      <c r="I355" s="40" t="s">
        <v>1819</v>
      </c>
      <c r="J355" s="40" t="s">
        <v>1736</v>
      </c>
      <c r="K355" s="9" t="s">
        <v>24</v>
      </c>
      <c r="L355" s="9" t="s">
        <v>35</v>
      </c>
      <c r="M355" s="11"/>
      <c r="N355" s="11"/>
      <c r="O355" s="50">
        <v>16.2</v>
      </c>
      <c r="R355" s="9">
        <f>IFERROR(VLOOKUP(E355,Sheet6!$A$2:$B$500,2,FALSE),0)</f>
        <v>0</v>
      </c>
      <c r="S355" s="41">
        <f>IFERROR(VLOOKUP(E355,Sheet6!$C$2:$D$35017,2,FALSE),0)</f>
        <v>0</v>
      </c>
      <c r="U355" s="9">
        <f>IFERROR(VLOOKUP(E355,Sheet2!$AA$1:$AB$975,2,FALSE),0)</f>
        <v>0</v>
      </c>
      <c r="V355" s="41">
        <f>IFERROR(VLOOKUP(E355,Sheet2!$AC$1:$AD$975,2,FALSE),0)</f>
        <v>0</v>
      </c>
      <c r="W355" s="42">
        <f>IFERROR(VLOOKUP(E355,Sheet2!$AE$1:$AF$975,2,FALSE),0)</f>
        <v>0</v>
      </c>
      <c r="X355" s="43">
        <f>IFERROR(VLOOKUP(E355,Sheet2!$AG$1:$AH$975,2,FALSE),0)</f>
        <v>0</v>
      </c>
      <c r="Z355" s="60">
        <f>IFERROR(VLOOKUP(F355,Sheet2!$AA$1:$AB$975,2,FALSE),0)</f>
        <v>2</v>
      </c>
      <c r="AA355" s="64">
        <f>IFERROR(VLOOKUP(F355,Sheet2!$AC$1:$AD$975,2,FALSE),0)</f>
        <v>108</v>
      </c>
      <c r="AB355" s="65">
        <f>IFERROR(VLOOKUP(F355,Sheet2!$AE$2:$AF$6539,2,FALSE),0)</f>
        <v>31</v>
      </c>
      <c r="AC355" s="43">
        <f>IFERROR(VLOOKUP(F355,Sheet2!$AG$2:$AH$6539,2,FALSE),0)</f>
        <v>1</v>
      </c>
      <c r="AE355" s="112">
        <v>0</v>
      </c>
      <c r="AF355" s="9">
        <v>21</v>
      </c>
      <c r="AG355" s="9">
        <v>0</v>
      </c>
      <c r="AH355" s="9">
        <v>0</v>
      </c>
      <c r="AI355" s="9">
        <v>21</v>
      </c>
      <c r="AJ355" s="9">
        <f t="shared" si="12"/>
        <v>21</v>
      </c>
      <c r="AK355" s="45">
        <f t="shared" si="13"/>
        <v>340.2</v>
      </c>
      <c r="AL355" s="68">
        <v>0</v>
      </c>
      <c r="AM355" s="68">
        <v>0</v>
      </c>
    </row>
    <row r="356" spans="1:39" x14ac:dyDescent="0.2">
      <c r="A356" s="57" t="s">
        <v>2082</v>
      </c>
      <c r="B356" s="47">
        <v>46173</v>
      </c>
      <c r="C356" s="48"/>
      <c r="D356" s="48" t="s">
        <v>1803</v>
      </c>
      <c r="E356" s="49" t="s">
        <v>1785</v>
      </c>
      <c r="F356" s="40" t="s">
        <v>2126</v>
      </c>
      <c r="G356" s="47" t="e">
        <v>#N/A</v>
      </c>
      <c r="H356" s="47" t="s">
        <v>94</v>
      </c>
      <c r="I356" s="40" t="s">
        <v>1820</v>
      </c>
      <c r="J356" s="40" t="s">
        <v>1723</v>
      </c>
      <c r="K356" s="9" t="s">
        <v>41</v>
      </c>
      <c r="L356" s="9" t="s">
        <v>29</v>
      </c>
      <c r="M356" s="11"/>
      <c r="N356" s="11"/>
      <c r="O356" s="50">
        <v>14.4</v>
      </c>
      <c r="R356" s="9">
        <f>IFERROR(VLOOKUP(E356,Sheet6!$A$2:$B$500,2,FALSE),0)</f>
        <v>0</v>
      </c>
      <c r="S356" s="41">
        <f>IFERROR(VLOOKUP(E356,Sheet6!$C$2:$D$35017,2,FALSE),0)</f>
        <v>0</v>
      </c>
      <c r="U356" s="9">
        <f>IFERROR(VLOOKUP(E356,Sheet2!$AA$1:$AB$975,2,FALSE),0)</f>
        <v>0</v>
      </c>
      <c r="V356" s="41">
        <f>IFERROR(VLOOKUP(E356,Sheet2!$AC$1:$AD$975,2,FALSE),0)</f>
        <v>0</v>
      </c>
      <c r="W356" s="42">
        <f>IFERROR(VLOOKUP(E356,Sheet2!$AE$1:$AF$975,2,FALSE),0)</f>
        <v>0</v>
      </c>
      <c r="X356" s="43">
        <f>IFERROR(VLOOKUP(E356,Sheet2!$AG$1:$AH$975,2,FALSE),0)</f>
        <v>0</v>
      </c>
      <c r="Z356" s="60">
        <f>IFERROR(VLOOKUP(F356,Sheet2!$AA$1:$AB$975,2,FALSE),0)</f>
        <v>0</v>
      </c>
      <c r="AA356" s="64">
        <f>IFERROR(VLOOKUP(F356,Sheet2!$AC$1:$AD$975,2,FALSE),0)</f>
        <v>0</v>
      </c>
      <c r="AB356" s="65">
        <f>IFERROR(VLOOKUP(F356,Sheet2!$AE$2:$AF$6539,2,FALSE),0)</f>
        <v>0</v>
      </c>
      <c r="AC356" s="43">
        <f>IFERROR(VLOOKUP(F356,Sheet2!$AG$2:$AH$6539,2,FALSE),0)</f>
        <v>0</v>
      </c>
      <c r="AE356" s="112">
        <v>9</v>
      </c>
      <c r="AF356" s="9">
        <v>33</v>
      </c>
      <c r="AG356" s="9">
        <v>0</v>
      </c>
      <c r="AH356" s="9">
        <v>0</v>
      </c>
      <c r="AI356" s="9">
        <v>33</v>
      </c>
      <c r="AJ356" s="9">
        <f t="shared" si="12"/>
        <v>42</v>
      </c>
      <c r="AK356" s="45">
        <f t="shared" si="13"/>
        <v>604.80000000000007</v>
      </c>
      <c r="AL356" s="68">
        <v>0</v>
      </c>
      <c r="AM356" s="68">
        <v>0</v>
      </c>
    </row>
    <row r="357" spans="1:39" x14ac:dyDescent="0.2">
      <c r="A357" s="57" t="s">
        <v>2082</v>
      </c>
      <c r="B357" s="47">
        <v>46173</v>
      </c>
      <c r="C357" s="48"/>
      <c r="D357" s="48" t="s">
        <v>1804</v>
      </c>
      <c r="E357" s="49" t="s">
        <v>1786</v>
      </c>
      <c r="F357" s="40" t="s">
        <v>2063</v>
      </c>
      <c r="G357" s="47" t="e">
        <v>#N/A</v>
      </c>
      <c r="H357" s="47" t="s">
        <v>94</v>
      </c>
      <c r="I357" s="40" t="s">
        <v>1820</v>
      </c>
      <c r="J357" s="40" t="s">
        <v>1723</v>
      </c>
      <c r="K357" s="9" t="s">
        <v>41</v>
      </c>
      <c r="L357" s="9" t="s">
        <v>32</v>
      </c>
      <c r="M357" s="11"/>
      <c r="N357" s="11"/>
      <c r="O357" s="50">
        <v>14.4</v>
      </c>
      <c r="R357" s="9">
        <f>IFERROR(VLOOKUP(E357,Sheet6!$A$2:$B$500,2,FALSE),0)</f>
        <v>0</v>
      </c>
      <c r="S357" s="41">
        <f>IFERROR(VLOOKUP(E357,Sheet6!$C$2:$D$35017,2,FALSE),0)</f>
        <v>0</v>
      </c>
      <c r="U357" s="9">
        <f>IFERROR(VLOOKUP(E357,Sheet2!$AA$1:$AB$975,2,FALSE),0)</f>
        <v>0</v>
      </c>
      <c r="V357" s="41">
        <f>IFERROR(VLOOKUP(E357,Sheet2!$AC$1:$AD$975,2,FALSE),0)</f>
        <v>0</v>
      </c>
      <c r="W357" s="42">
        <f>IFERROR(VLOOKUP(E357,Sheet2!$AE$1:$AF$975,2,FALSE),0)</f>
        <v>0</v>
      </c>
      <c r="X357" s="43">
        <f>IFERROR(VLOOKUP(E357,Sheet2!$AG$1:$AH$975,2,FALSE),0)</f>
        <v>0</v>
      </c>
      <c r="Z357" s="60">
        <f>IFERROR(VLOOKUP(F357,Sheet2!$AA$1:$AB$975,2,FALSE),0)</f>
        <v>0</v>
      </c>
      <c r="AA357" s="64">
        <f>IFERROR(VLOOKUP(F357,Sheet2!$AC$1:$AD$975,2,FALSE),0)</f>
        <v>0</v>
      </c>
      <c r="AB357" s="65">
        <f>IFERROR(VLOOKUP(F357,Sheet2!$AE$2:$AF$6539,2,FALSE),0)</f>
        <v>0</v>
      </c>
      <c r="AC357" s="43">
        <f>IFERROR(VLOOKUP(F357,Sheet2!$AG$2:$AH$6539,2,FALSE),0)</f>
        <v>0</v>
      </c>
      <c r="AE357" s="112">
        <v>5</v>
      </c>
      <c r="AF357" s="9">
        <v>18</v>
      </c>
      <c r="AG357" s="9">
        <v>0</v>
      </c>
      <c r="AH357" s="9">
        <v>0</v>
      </c>
      <c r="AI357" s="9">
        <v>18</v>
      </c>
      <c r="AJ357" s="9">
        <f t="shared" si="12"/>
        <v>23</v>
      </c>
      <c r="AK357" s="45">
        <f t="shared" si="13"/>
        <v>331.2</v>
      </c>
      <c r="AL357" s="68">
        <v>0</v>
      </c>
      <c r="AM357" s="68">
        <v>0</v>
      </c>
    </row>
    <row r="358" spans="1:39" x14ac:dyDescent="0.2">
      <c r="A358" s="57" t="s">
        <v>2082</v>
      </c>
      <c r="B358" s="47">
        <v>46173</v>
      </c>
      <c r="C358" s="48"/>
      <c r="D358" s="48" t="s">
        <v>1805</v>
      </c>
      <c r="E358" s="49" t="s">
        <v>1787</v>
      </c>
      <c r="F358" s="40" t="s">
        <v>1768</v>
      </c>
      <c r="G358" s="47" t="e">
        <v>#N/A</v>
      </c>
      <c r="H358" s="47" t="s">
        <v>94</v>
      </c>
      <c r="I358" s="40" t="s">
        <v>1820</v>
      </c>
      <c r="J358" s="40" t="s">
        <v>1723</v>
      </c>
      <c r="K358" s="9" t="s">
        <v>41</v>
      </c>
      <c r="L358" s="9" t="s">
        <v>35</v>
      </c>
      <c r="M358" s="11"/>
      <c r="N358" s="11"/>
      <c r="O358" s="50">
        <v>14.4</v>
      </c>
      <c r="R358" s="9">
        <f>IFERROR(VLOOKUP(E358,Sheet6!$A$2:$B$500,2,FALSE),0)</f>
        <v>0</v>
      </c>
      <c r="S358" s="41">
        <f>IFERROR(VLOOKUP(E358,Sheet6!$C$2:$D$35017,2,FALSE),0)</f>
        <v>0</v>
      </c>
      <c r="U358" s="9">
        <f>IFERROR(VLOOKUP(E358,Sheet2!$AA$1:$AB$975,2,FALSE),0)</f>
        <v>0</v>
      </c>
      <c r="V358" s="41">
        <f>IFERROR(VLOOKUP(E358,Sheet2!$AC$1:$AD$975,2,FALSE),0)</f>
        <v>0</v>
      </c>
      <c r="W358" s="42">
        <f>IFERROR(VLOOKUP(E358,Sheet2!$AE$1:$AF$975,2,FALSE),0)</f>
        <v>0</v>
      </c>
      <c r="X358" s="43">
        <f>IFERROR(VLOOKUP(E358,Sheet2!$AG$1:$AH$975,2,FALSE),0)</f>
        <v>0</v>
      </c>
      <c r="Z358" s="60">
        <f>IFERROR(VLOOKUP(F358,Sheet2!$AA$1:$AB$975,2,FALSE),0)</f>
        <v>0</v>
      </c>
      <c r="AA358" s="64">
        <f>IFERROR(VLOOKUP(F358,Sheet2!$AC$1:$AD$975,2,FALSE),0)</f>
        <v>0</v>
      </c>
      <c r="AB358" s="65">
        <f>IFERROR(VLOOKUP(F358,Sheet2!$AE$2:$AF$6539,2,FALSE),0)</f>
        <v>0</v>
      </c>
      <c r="AC358" s="43">
        <f>IFERROR(VLOOKUP(F358,Sheet2!$AG$2:$AH$6539,2,FALSE),0)</f>
        <v>0</v>
      </c>
      <c r="AE358" s="112">
        <v>35</v>
      </c>
      <c r="AF358" s="9">
        <v>0</v>
      </c>
      <c r="AG358" s="9">
        <v>0</v>
      </c>
      <c r="AH358" s="9">
        <v>0</v>
      </c>
      <c r="AI358" s="9">
        <v>0</v>
      </c>
      <c r="AJ358" s="9">
        <f t="shared" si="12"/>
        <v>35</v>
      </c>
      <c r="AK358" s="45">
        <f t="shared" si="13"/>
        <v>504</v>
      </c>
      <c r="AL358" s="68">
        <v>0</v>
      </c>
      <c r="AM358" s="68">
        <v>6</v>
      </c>
    </row>
    <row r="359" spans="1:39" x14ac:dyDescent="0.2">
      <c r="A359" s="57" t="s">
        <v>2082</v>
      </c>
      <c r="B359" s="47">
        <v>46173</v>
      </c>
      <c r="C359" s="48"/>
      <c r="D359" s="48" t="s">
        <v>1806</v>
      </c>
      <c r="E359" s="49" t="s">
        <v>1788</v>
      </c>
      <c r="F359" s="40" t="s">
        <v>1769</v>
      </c>
      <c r="G359" s="47" t="e">
        <v>#N/A</v>
      </c>
      <c r="H359" s="47" t="s">
        <v>94</v>
      </c>
      <c r="I359" s="40" t="s">
        <v>1820</v>
      </c>
      <c r="J359" s="40" t="s">
        <v>1723</v>
      </c>
      <c r="K359" s="9" t="s">
        <v>125</v>
      </c>
      <c r="L359" s="9" t="s">
        <v>29</v>
      </c>
      <c r="M359" s="11"/>
      <c r="N359" s="11"/>
      <c r="O359" s="50">
        <v>14.4</v>
      </c>
      <c r="R359" s="9">
        <f>IFERROR(VLOOKUP(E359,Sheet6!$A$2:$B$500,2,FALSE),0)</f>
        <v>1</v>
      </c>
      <c r="S359" s="41">
        <f>IFERROR(VLOOKUP(E359,Sheet6!$C$2:$D$35017,2,FALSE),0)</f>
        <v>43.2</v>
      </c>
      <c r="U359" s="9">
        <f>IFERROR(VLOOKUP(E359,Sheet2!$AA$1:$AB$975,2,FALSE),0)</f>
        <v>0</v>
      </c>
      <c r="V359" s="41">
        <f>IFERROR(VLOOKUP(E359,Sheet2!$AC$1:$AD$975,2,FALSE),0)</f>
        <v>0</v>
      </c>
      <c r="W359" s="42">
        <f>IFERROR(VLOOKUP(E359,Sheet2!$AE$1:$AF$975,2,FALSE),0)</f>
        <v>0</v>
      </c>
      <c r="X359" s="43">
        <f>IFERROR(VLOOKUP(E359,Sheet2!$AG$1:$AH$975,2,FALSE),0)</f>
        <v>0</v>
      </c>
      <c r="Z359" s="60">
        <f>IFERROR(VLOOKUP(F359,Sheet2!$AA$1:$AB$975,2,FALSE),0)</f>
        <v>0</v>
      </c>
      <c r="AA359" s="64">
        <f>IFERROR(VLOOKUP(F359,Sheet2!$AC$1:$AD$975,2,FALSE),0)</f>
        <v>0</v>
      </c>
      <c r="AB359" s="65">
        <f>IFERROR(VLOOKUP(F359,Sheet2!$AE$2:$AF$6539,2,FALSE),0)</f>
        <v>0</v>
      </c>
      <c r="AC359" s="43">
        <f>IFERROR(VLOOKUP(F359,Sheet2!$AG$2:$AH$6539,2,FALSE),0)</f>
        <v>0</v>
      </c>
      <c r="AE359" s="112">
        <v>86</v>
      </c>
      <c r="AF359" s="9">
        <v>23</v>
      </c>
      <c r="AG359" s="9">
        <v>0</v>
      </c>
      <c r="AH359" s="9">
        <v>0</v>
      </c>
      <c r="AI359" s="9">
        <v>23</v>
      </c>
      <c r="AJ359" s="9">
        <f t="shared" si="12"/>
        <v>109</v>
      </c>
      <c r="AK359" s="45">
        <f t="shared" si="13"/>
        <v>1569.6000000000001</v>
      </c>
      <c r="AL359" s="68">
        <v>0</v>
      </c>
      <c r="AM359" s="68">
        <v>0</v>
      </c>
    </row>
    <row r="360" spans="1:39" x14ac:dyDescent="0.2">
      <c r="A360" s="57" t="s">
        <v>2082</v>
      </c>
      <c r="B360" s="47">
        <v>46173</v>
      </c>
      <c r="C360" s="48"/>
      <c r="D360" s="48" t="s">
        <v>1807</v>
      </c>
      <c r="E360" s="49" t="s">
        <v>1724</v>
      </c>
      <c r="F360" s="40" t="s">
        <v>1770</v>
      </c>
      <c r="G360" s="47" t="e">
        <v>#N/A</v>
      </c>
      <c r="H360" s="47" t="s">
        <v>94</v>
      </c>
      <c r="I360" s="40" t="s">
        <v>1820</v>
      </c>
      <c r="J360" s="40" t="s">
        <v>1723</v>
      </c>
      <c r="K360" s="9" t="s">
        <v>125</v>
      </c>
      <c r="L360" s="9" t="s">
        <v>32</v>
      </c>
      <c r="M360" s="11"/>
      <c r="N360" s="11"/>
      <c r="O360" s="50">
        <v>14.4</v>
      </c>
      <c r="R360" s="9">
        <f>IFERROR(VLOOKUP(E360,Sheet6!$A$2:$B$500,2,FALSE),0)</f>
        <v>0</v>
      </c>
      <c r="S360" s="41">
        <f>IFERROR(VLOOKUP(E360,Sheet6!$C$2:$D$35017,2,FALSE),0)</f>
        <v>0</v>
      </c>
      <c r="U360" s="9">
        <f>IFERROR(VLOOKUP(E360,Sheet2!$AA$1:$AB$975,2,FALSE),0)</f>
        <v>0</v>
      </c>
      <c r="V360" s="41">
        <f>IFERROR(VLOOKUP(E360,Sheet2!$AC$1:$AD$975,2,FALSE),0)</f>
        <v>0</v>
      </c>
      <c r="W360" s="42">
        <f>IFERROR(VLOOKUP(E360,Sheet2!$AE$1:$AF$975,2,FALSE),0)</f>
        <v>0</v>
      </c>
      <c r="X360" s="43">
        <f>IFERROR(VLOOKUP(E360,Sheet2!$AG$1:$AH$975,2,FALSE),0)</f>
        <v>0</v>
      </c>
      <c r="Z360" s="60">
        <f>IFERROR(VLOOKUP(F360,Sheet2!$AA$1:$AB$975,2,FALSE),0)</f>
        <v>0</v>
      </c>
      <c r="AA360" s="64">
        <f>IFERROR(VLOOKUP(F360,Sheet2!$AC$1:$AD$975,2,FALSE),0)</f>
        <v>0</v>
      </c>
      <c r="AB360" s="65">
        <f>IFERROR(VLOOKUP(F360,Sheet2!$AE$2:$AF$6539,2,FALSE),0)</f>
        <v>0</v>
      </c>
      <c r="AC360" s="43">
        <f>IFERROR(VLOOKUP(F360,Sheet2!$AG$2:$AH$6539,2,FALSE),0)</f>
        <v>0</v>
      </c>
      <c r="AE360" s="112">
        <v>0</v>
      </c>
      <c r="AF360" s="9">
        <v>0</v>
      </c>
      <c r="AG360" s="9">
        <v>0</v>
      </c>
      <c r="AH360" s="9">
        <v>0</v>
      </c>
      <c r="AI360" s="9">
        <v>0</v>
      </c>
      <c r="AJ360" s="9">
        <f t="shared" si="12"/>
        <v>0</v>
      </c>
      <c r="AK360" s="45">
        <f t="shared" si="13"/>
        <v>0</v>
      </c>
      <c r="AL360" s="68">
        <v>0</v>
      </c>
      <c r="AM360" s="68">
        <v>6</v>
      </c>
    </row>
    <row r="361" spans="1:39" x14ac:dyDescent="0.2">
      <c r="A361" s="57" t="s">
        <v>2082</v>
      </c>
      <c r="B361" s="47">
        <v>46173</v>
      </c>
      <c r="C361" s="48"/>
      <c r="D361" s="48" t="s">
        <v>1808</v>
      </c>
      <c r="E361" s="49" t="s">
        <v>1741</v>
      </c>
      <c r="F361" s="40" t="s">
        <v>1771</v>
      </c>
      <c r="G361" s="47" t="e">
        <v>#N/A</v>
      </c>
      <c r="H361" s="47" t="s">
        <v>94</v>
      </c>
      <c r="I361" s="40" t="s">
        <v>1821</v>
      </c>
      <c r="J361" s="40" t="s">
        <v>1740</v>
      </c>
      <c r="K361" s="9" t="s">
        <v>24</v>
      </c>
      <c r="L361" s="9" t="s">
        <v>32</v>
      </c>
      <c r="M361" s="11"/>
      <c r="N361" s="11"/>
      <c r="O361" s="50">
        <v>12.6</v>
      </c>
      <c r="R361" s="9">
        <f>IFERROR(VLOOKUP(E361,Sheet6!$A$2:$B$500,2,FALSE),0)</f>
        <v>0</v>
      </c>
      <c r="S361" s="41">
        <f>IFERROR(VLOOKUP(E361,Sheet6!$C$2:$D$35017,2,FALSE),0)</f>
        <v>0</v>
      </c>
      <c r="U361" s="9">
        <f>IFERROR(VLOOKUP(E361,Sheet2!$AA$1:$AB$975,2,FALSE),0)</f>
        <v>0</v>
      </c>
      <c r="V361" s="41">
        <f>IFERROR(VLOOKUP(E361,Sheet2!$AC$1:$AD$975,2,FALSE),0)</f>
        <v>0</v>
      </c>
      <c r="W361" s="42">
        <f>IFERROR(VLOOKUP(E361,Sheet2!$AE$1:$AF$975,2,FALSE),0)</f>
        <v>0</v>
      </c>
      <c r="X361" s="43">
        <f>IFERROR(VLOOKUP(E361,Sheet2!$AG$1:$AH$975,2,FALSE),0)</f>
        <v>0</v>
      </c>
      <c r="Z361" s="60">
        <f>IFERROR(VLOOKUP(F361,Sheet2!$AA$1:$AB$975,2,FALSE),0)</f>
        <v>1</v>
      </c>
      <c r="AA361" s="64">
        <f>IFERROR(VLOOKUP(F361,Sheet2!$AC$1:$AD$975,2,FALSE),0)</f>
        <v>42</v>
      </c>
      <c r="AB361" s="65">
        <f>IFERROR(VLOOKUP(F361,Sheet2!$AE$2:$AF$6539,2,FALSE),0)</f>
        <v>15</v>
      </c>
      <c r="AC361" s="43">
        <f>IFERROR(VLOOKUP(F361,Sheet2!$AG$2:$AH$6539,2,FALSE),0)</f>
        <v>1</v>
      </c>
      <c r="AE361" s="112">
        <v>0</v>
      </c>
      <c r="AF361" s="9">
        <v>0</v>
      </c>
      <c r="AG361" s="9">
        <v>0</v>
      </c>
      <c r="AH361" s="9">
        <v>11</v>
      </c>
      <c r="AI361" s="9">
        <v>11</v>
      </c>
      <c r="AJ361" s="9">
        <f t="shared" si="12"/>
        <v>11</v>
      </c>
      <c r="AK361" s="45">
        <f t="shared" si="13"/>
        <v>138.6</v>
      </c>
      <c r="AL361" s="68">
        <v>0</v>
      </c>
      <c r="AM361" s="68">
        <v>0</v>
      </c>
    </row>
    <row r="362" spans="1:39" x14ac:dyDescent="0.2">
      <c r="A362" s="57" t="s">
        <v>2082</v>
      </c>
      <c r="B362" s="47">
        <v>46173</v>
      </c>
      <c r="C362" s="48"/>
      <c r="D362" s="48" t="s">
        <v>1809</v>
      </c>
      <c r="E362" s="49" t="s">
        <v>1789</v>
      </c>
      <c r="F362" s="40" t="s">
        <v>1772</v>
      </c>
      <c r="G362" s="47" t="e">
        <v>#N/A</v>
      </c>
      <c r="H362" s="47" t="s">
        <v>94</v>
      </c>
      <c r="I362" s="40" t="s">
        <v>1822</v>
      </c>
      <c r="J362" s="40" t="s">
        <v>1826</v>
      </c>
      <c r="K362" s="9" t="s">
        <v>1824</v>
      </c>
      <c r="L362" s="9" t="s">
        <v>32</v>
      </c>
      <c r="M362" s="11"/>
      <c r="N362" s="11"/>
      <c r="O362" s="50">
        <v>17.100000000000001</v>
      </c>
      <c r="R362" s="9">
        <f>IFERROR(VLOOKUP(E362,Sheet6!$A$2:$B$500,2,FALSE),0)</f>
        <v>0</v>
      </c>
      <c r="S362" s="41">
        <f>IFERROR(VLOOKUP(E362,Sheet6!$C$2:$D$35017,2,FALSE),0)</f>
        <v>0</v>
      </c>
      <c r="U362" s="9">
        <f>IFERROR(VLOOKUP(E362,Sheet2!$AA$1:$AB$975,2,FALSE),0)</f>
        <v>0</v>
      </c>
      <c r="V362" s="41">
        <f>IFERROR(VLOOKUP(E362,Sheet2!$AC$1:$AD$975,2,FALSE),0)</f>
        <v>0</v>
      </c>
      <c r="W362" s="42">
        <f>IFERROR(VLOOKUP(E362,Sheet2!$AE$1:$AF$975,2,FALSE),0)</f>
        <v>0</v>
      </c>
      <c r="X362" s="43">
        <f>IFERROR(VLOOKUP(E362,Sheet2!$AG$1:$AH$975,2,FALSE),0)</f>
        <v>0</v>
      </c>
      <c r="Z362" s="60">
        <f>IFERROR(VLOOKUP(F362,Sheet2!$AA$1:$AB$975,2,FALSE),0)</f>
        <v>3</v>
      </c>
      <c r="AA362" s="64">
        <f>IFERROR(VLOOKUP(F362,Sheet2!$AC$1:$AD$975,2,FALSE),0)</f>
        <v>171</v>
      </c>
      <c r="AB362" s="65">
        <f>IFERROR(VLOOKUP(F362,Sheet2!$AE$2:$AF$6539,2,FALSE),0)</f>
        <v>18</v>
      </c>
      <c r="AC362" s="43">
        <f>IFERROR(VLOOKUP(F362,Sheet2!$AG$2:$AH$6539,2,FALSE),0)</f>
        <v>1</v>
      </c>
      <c r="AE362" s="112">
        <v>30</v>
      </c>
      <c r="AF362" s="9">
        <v>20</v>
      </c>
      <c r="AG362" s="9">
        <v>0</v>
      </c>
      <c r="AH362" s="9">
        <v>0</v>
      </c>
      <c r="AI362" s="9">
        <v>20</v>
      </c>
      <c r="AJ362" s="9">
        <f t="shared" si="12"/>
        <v>50</v>
      </c>
      <c r="AK362" s="45">
        <f t="shared" si="13"/>
        <v>855.00000000000011</v>
      </c>
      <c r="AL362" s="68">
        <v>0</v>
      </c>
      <c r="AM362" s="68">
        <v>0</v>
      </c>
    </row>
    <row r="363" spans="1:39" x14ac:dyDescent="0.2">
      <c r="A363" s="57" t="s">
        <v>2082</v>
      </c>
      <c r="B363" s="47">
        <v>46173</v>
      </c>
      <c r="C363" s="48"/>
      <c r="D363" s="48" t="s">
        <v>1810</v>
      </c>
      <c r="E363" s="49" t="s">
        <v>1790</v>
      </c>
      <c r="F363" s="40" t="s">
        <v>1773</v>
      </c>
      <c r="G363" s="47" t="e">
        <v>#N/A</v>
      </c>
      <c r="H363" s="47" t="s">
        <v>94</v>
      </c>
      <c r="I363" s="40" t="s">
        <v>1822</v>
      </c>
      <c r="J363" s="40" t="s">
        <v>1826</v>
      </c>
      <c r="K363" s="9" t="s">
        <v>1824</v>
      </c>
      <c r="L363" s="9" t="s">
        <v>35</v>
      </c>
      <c r="M363" s="11"/>
      <c r="N363" s="11"/>
      <c r="O363" s="50">
        <v>17.100000000000001</v>
      </c>
      <c r="R363" s="9">
        <f>IFERROR(VLOOKUP(E363,Sheet6!$A$2:$B$500,2,FALSE),0)</f>
        <v>0</v>
      </c>
      <c r="S363" s="41">
        <f>IFERROR(VLOOKUP(E363,Sheet6!$C$2:$D$35017,2,FALSE),0)</f>
        <v>0</v>
      </c>
      <c r="U363" s="9">
        <f>IFERROR(VLOOKUP(E363,Sheet2!$AA$1:$AB$975,2,FALSE),0)</f>
        <v>0</v>
      </c>
      <c r="V363" s="41">
        <f>IFERROR(VLOOKUP(E363,Sheet2!$AC$1:$AD$975,2,FALSE),0)</f>
        <v>0</v>
      </c>
      <c r="W363" s="42">
        <f>IFERROR(VLOOKUP(E363,Sheet2!$AE$1:$AF$975,2,FALSE),0)</f>
        <v>0</v>
      </c>
      <c r="X363" s="43">
        <f>IFERROR(VLOOKUP(E363,Sheet2!$AG$1:$AH$975,2,FALSE),0)</f>
        <v>0</v>
      </c>
      <c r="Z363" s="60">
        <f>IFERROR(VLOOKUP(F363,Sheet2!$AA$1:$AB$975,2,FALSE),0)</f>
        <v>2</v>
      </c>
      <c r="AA363" s="64">
        <f>IFERROR(VLOOKUP(F363,Sheet2!$AC$1:$AD$975,2,FALSE),0)</f>
        <v>114</v>
      </c>
      <c r="AB363" s="65">
        <f>IFERROR(VLOOKUP(F363,Sheet2!$AE$2:$AF$6539,2,FALSE),0)</f>
        <v>19</v>
      </c>
      <c r="AC363" s="43">
        <f>IFERROR(VLOOKUP(F363,Sheet2!$AG$2:$AH$6539,2,FALSE),0)</f>
        <v>1</v>
      </c>
      <c r="AE363" s="112">
        <v>0</v>
      </c>
      <c r="AF363" s="9">
        <v>8</v>
      </c>
      <c r="AG363" s="9">
        <v>0</v>
      </c>
      <c r="AH363" s="9">
        <v>0</v>
      </c>
      <c r="AI363" s="9">
        <v>8</v>
      </c>
      <c r="AJ363" s="9">
        <f t="shared" si="12"/>
        <v>8</v>
      </c>
      <c r="AK363" s="45">
        <f t="shared" si="13"/>
        <v>136.80000000000001</v>
      </c>
      <c r="AL363" s="68">
        <v>0</v>
      </c>
      <c r="AM363" s="68">
        <v>0</v>
      </c>
    </row>
    <row r="364" spans="1:39" x14ac:dyDescent="0.2">
      <c r="A364" s="57" t="s">
        <v>2082</v>
      </c>
      <c r="B364" s="47">
        <v>46173</v>
      </c>
      <c r="C364" s="48"/>
      <c r="D364" s="48" t="s">
        <v>1811</v>
      </c>
      <c r="E364" s="49" t="s">
        <v>1791</v>
      </c>
      <c r="F364" s="40" t="s">
        <v>1774</v>
      </c>
      <c r="G364" s="47" t="e">
        <v>#N/A</v>
      </c>
      <c r="H364" s="47" t="s">
        <v>94</v>
      </c>
      <c r="I364" s="40" t="s">
        <v>1822</v>
      </c>
      <c r="J364" s="40" t="s">
        <v>1826</v>
      </c>
      <c r="K364" s="9" t="s">
        <v>41</v>
      </c>
      <c r="L364" s="9" t="s">
        <v>32</v>
      </c>
      <c r="M364" s="11"/>
      <c r="N364" s="11"/>
      <c r="O364" s="50">
        <v>17.100000000000001</v>
      </c>
      <c r="R364" s="9">
        <f>IFERROR(VLOOKUP(E364,Sheet6!$A$2:$B$500,2,FALSE),0)</f>
        <v>0</v>
      </c>
      <c r="S364" s="41">
        <f>IFERROR(VLOOKUP(E364,Sheet6!$C$2:$D$35017,2,FALSE),0)</f>
        <v>0</v>
      </c>
      <c r="U364" s="9">
        <f>IFERROR(VLOOKUP(E364,Sheet2!$AA$1:$AB$975,2,FALSE),0)</f>
        <v>0</v>
      </c>
      <c r="V364" s="41">
        <f>IFERROR(VLOOKUP(E364,Sheet2!$AC$1:$AD$975,2,FALSE),0)</f>
        <v>0</v>
      </c>
      <c r="W364" s="42">
        <f>IFERROR(VLOOKUP(E364,Sheet2!$AE$1:$AF$975,2,FALSE),0)</f>
        <v>0</v>
      </c>
      <c r="X364" s="43">
        <f>IFERROR(VLOOKUP(E364,Sheet2!$AG$1:$AH$975,2,FALSE),0)</f>
        <v>0</v>
      </c>
      <c r="Z364" s="60">
        <f>IFERROR(VLOOKUP(F364,Sheet2!$AA$1:$AB$975,2,FALSE),0)</f>
        <v>0</v>
      </c>
      <c r="AA364" s="64">
        <f>IFERROR(VLOOKUP(F364,Sheet2!$AC$1:$AD$975,2,FALSE),0)</f>
        <v>0</v>
      </c>
      <c r="AB364" s="65">
        <f>IFERROR(VLOOKUP(F364,Sheet2!$AE$2:$AF$6539,2,FALSE),0)</f>
        <v>0</v>
      </c>
      <c r="AC364" s="43">
        <f>IFERROR(VLOOKUP(F364,Sheet2!$AG$2:$AH$6539,2,FALSE),0)</f>
        <v>0</v>
      </c>
      <c r="AE364" s="112">
        <v>12</v>
      </c>
      <c r="AF364" s="9">
        <v>25</v>
      </c>
      <c r="AG364" s="9">
        <v>0</v>
      </c>
      <c r="AH364" s="9">
        <v>0</v>
      </c>
      <c r="AI364" s="9">
        <v>25</v>
      </c>
      <c r="AJ364" s="9">
        <f t="shared" si="12"/>
        <v>37</v>
      </c>
      <c r="AK364" s="45">
        <f t="shared" si="13"/>
        <v>632.70000000000005</v>
      </c>
      <c r="AL364" s="68">
        <v>0</v>
      </c>
      <c r="AM364" s="68">
        <v>6</v>
      </c>
    </row>
    <row r="365" spans="1:39" x14ac:dyDescent="0.2">
      <c r="A365" s="57" t="s">
        <v>2082</v>
      </c>
      <c r="B365" s="47">
        <v>46173</v>
      </c>
      <c r="C365" s="48"/>
      <c r="D365" s="48" t="s">
        <v>1812</v>
      </c>
      <c r="E365" s="49" t="s">
        <v>1792</v>
      </c>
      <c r="F365" s="40" t="s">
        <v>1775</v>
      </c>
      <c r="G365" s="47" t="e">
        <v>#N/A</v>
      </c>
      <c r="H365" s="47" t="s">
        <v>94</v>
      </c>
      <c r="I365" s="40" t="s">
        <v>1822</v>
      </c>
      <c r="J365" s="40" t="s">
        <v>1826</v>
      </c>
      <c r="K365" s="9" t="s">
        <v>41</v>
      </c>
      <c r="L365" s="9" t="s">
        <v>35</v>
      </c>
      <c r="M365" s="11"/>
      <c r="N365" s="11"/>
      <c r="O365" s="50">
        <v>17.100000000000001</v>
      </c>
      <c r="R365" s="9">
        <f>IFERROR(VLOOKUP(E365,Sheet6!$A$2:$B$500,2,FALSE),0)</f>
        <v>0</v>
      </c>
      <c r="S365" s="41">
        <f>IFERROR(VLOOKUP(E365,Sheet6!$C$2:$D$35017,2,FALSE),0)</f>
        <v>0</v>
      </c>
      <c r="U365" s="9">
        <f>IFERROR(VLOOKUP(E365,Sheet2!$AA$1:$AB$975,2,FALSE),0)</f>
        <v>0</v>
      </c>
      <c r="V365" s="41">
        <f>IFERROR(VLOOKUP(E365,Sheet2!$AC$1:$AD$975,2,FALSE),0)</f>
        <v>0</v>
      </c>
      <c r="W365" s="42">
        <f>IFERROR(VLOOKUP(E365,Sheet2!$AE$1:$AF$975,2,FALSE),0)</f>
        <v>0</v>
      </c>
      <c r="X365" s="43">
        <f>IFERROR(VLOOKUP(E365,Sheet2!$AG$1:$AH$975,2,FALSE),0)</f>
        <v>0</v>
      </c>
      <c r="Z365" s="60">
        <f>IFERROR(VLOOKUP(F365,Sheet2!$AA$1:$AB$975,2,FALSE),0)</f>
        <v>6</v>
      </c>
      <c r="AA365" s="64">
        <f>IFERROR(VLOOKUP(F365,Sheet2!$AC$1:$AD$975,2,FALSE),0)</f>
        <v>342</v>
      </c>
      <c r="AB365" s="65">
        <f>IFERROR(VLOOKUP(F365,Sheet2!$AE$2:$AF$6539,2,FALSE),0)</f>
        <v>38</v>
      </c>
      <c r="AC365" s="43">
        <f>IFERROR(VLOOKUP(F365,Sheet2!$AG$2:$AH$6539,2,FALSE),0)</f>
        <v>1</v>
      </c>
      <c r="AE365" s="112">
        <v>19</v>
      </c>
      <c r="AF365" s="9">
        <v>2</v>
      </c>
      <c r="AG365" s="9">
        <v>0</v>
      </c>
      <c r="AH365" s="9">
        <v>1</v>
      </c>
      <c r="AI365" s="9">
        <v>3</v>
      </c>
      <c r="AJ365" s="9">
        <f t="shared" si="12"/>
        <v>22</v>
      </c>
      <c r="AK365" s="45">
        <f t="shared" si="13"/>
        <v>376.20000000000005</v>
      </c>
      <c r="AL365" s="68">
        <v>0</v>
      </c>
      <c r="AM365" s="68">
        <v>0</v>
      </c>
    </row>
    <row r="366" spans="1:39" x14ac:dyDescent="0.2">
      <c r="A366" s="57" t="s">
        <v>2082</v>
      </c>
      <c r="B366" s="47">
        <v>46173</v>
      </c>
      <c r="C366" s="48"/>
      <c r="D366" s="48" t="s">
        <v>1813</v>
      </c>
      <c r="E366" s="49" t="s">
        <v>1793</v>
      </c>
      <c r="F366" s="40" t="s">
        <v>1776</v>
      </c>
      <c r="G366" s="47" t="e">
        <v>#N/A</v>
      </c>
      <c r="H366" s="47" t="s">
        <v>94</v>
      </c>
      <c r="I366" s="40" t="s">
        <v>1823</v>
      </c>
      <c r="J366" s="40" t="s">
        <v>1718</v>
      </c>
      <c r="K366" s="9" t="s">
        <v>24</v>
      </c>
      <c r="L366" s="9" t="s">
        <v>29</v>
      </c>
      <c r="M366" s="11"/>
      <c r="N366" s="11"/>
      <c r="O366" s="50">
        <v>12.6</v>
      </c>
      <c r="R366" s="9">
        <f>IFERROR(VLOOKUP(E366,Sheet6!$A$2:$B$500,2,FALSE),0)</f>
        <v>0</v>
      </c>
      <c r="S366" s="41">
        <f>IFERROR(VLOOKUP(E366,Sheet6!$C$2:$D$35017,2,FALSE),0)</f>
        <v>0</v>
      </c>
      <c r="U366" s="9">
        <f>IFERROR(VLOOKUP(E366,Sheet2!$AA$1:$AB$975,2,FALSE),0)</f>
        <v>0</v>
      </c>
      <c r="V366" s="41">
        <f>IFERROR(VLOOKUP(E366,Sheet2!$AC$1:$AD$975,2,FALSE),0)</f>
        <v>0</v>
      </c>
      <c r="W366" s="42">
        <f>IFERROR(VLOOKUP(E366,Sheet2!$AE$1:$AF$975,2,FALSE),0)</f>
        <v>0</v>
      </c>
      <c r="X366" s="43">
        <f>IFERROR(VLOOKUP(E366,Sheet2!$AG$1:$AH$975,2,FALSE),0)</f>
        <v>0</v>
      </c>
      <c r="Z366" s="60">
        <f>IFERROR(VLOOKUP(F366,Sheet2!$AA$1:$AB$975,2,FALSE),0)</f>
        <v>4</v>
      </c>
      <c r="AA366" s="64">
        <f>IFERROR(VLOOKUP(F366,Sheet2!$AC$1:$AD$975,2,FALSE),0)</f>
        <v>168</v>
      </c>
      <c r="AB366" s="65">
        <f>IFERROR(VLOOKUP(F366,Sheet2!$AE$2:$AF$6539,2,FALSE),0)</f>
        <v>19</v>
      </c>
      <c r="AC366" s="43">
        <f>IFERROR(VLOOKUP(F366,Sheet2!$AG$2:$AH$6539,2,FALSE),0)</f>
        <v>1</v>
      </c>
      <c r="AE366" s="112">
        <v>3</v>
      </c>
      <c r="AF366" s="9">
        <v>0</v>
      </c>
      <c r="AG366" s="9">
        <v>0</v>
      </c>
      <c r="AH366" s="9">
        <v>0</v>
      </c>
      <c r="AI366" s="9">
        <v>0</v>
      </c>
      <c r="AJ366" s="9">
        <f t="shared" si="12"/>
        <v>3</v>
      </c>
      <c r="AK366" s="45">
        <f t="shared" si="13"/>
        <v>37.799999999999997</v>
      </c>
      <c r="AL366" s="68">
        <v>6</v>
      </c>
      <c r="AM366" s="68">
        <v>0</v>
      </c>
    </row>
    <row r="367" spans="1:39" x14ac:dyDescent="0.2">
      <c r="A367" s="57" t="s">
        <v>2082</v>
      </c>
      <c r="B367" s="47">
        <v>46173</v>
      </c>
      <c r="C367" s="48"/>
      <c r="D367" s="48" t="s">
        <v>1814</v>
      </c>
      <c r="E367" s="49" t="s">
        <v>1794</v>
      </c>
      <c r="F367" s="40" t="s">
        <v>1777</v>
      </c>
      <c r="G367" s="47" t="e">
        <v>#N/A</v>
      </c>
      <c r="H367" s="47" t="s">
        <v>94</v>
      </c>
      <c r="I367" s="40" t="s">
        <v>1823</v>
      </c>
      <c r="J367" s="40" t="s">
        <v>1718</v>
      </c>
      <c r="K367" s="9" t="s">
        <v>24</v>
      </c>
      <c r="L367" s="9" t="s">
        <v>32</v>
      </c>
      <c r="M367" s="11"/>
      <c r="N367" s="11"/>
      <c r="O367" s="50">
        <v>12.6</v>
      </c>
      <c r="R367" s="9">
        <f>IFERROR(VLOOKUP(E367,Sheet6!$A$2:$B$500,2,FALSE),0)</f>
        <v>0</v>
      </c>
      <c r="S367" s="41">
        <f>IFERROR(VLOOKUP(E367,Sheet6!$C$2:$D$35017,2,FALSE),0)</f>
        <v>0</v>
      </c>
      <c r="U367" s="9">
        <f>IFERROR(VLOOKUP(E367,Sheet2!$AA$1:$AB$975,2,FALSE),0)</f>
        <v>0</v>
      </c>
      <c r="V367" s="41">
        <f>IFERROR(VLOOKUP(E367,Sheet2!$AC$1:$AD$975,2,FALSE),0)</f>
        <v>0</v>
      </c>
      <c r="W367" s="42">
        <f>IFERROR(VLOOKUP(E367,Sheet2!$AE$1:$AF$975,2,FALSE),0)</f>
        <v>0</v>
      </c>
      <c r="X367" s="43">
        <f>IFERROR(VLOOKUP(E367,Sheet2!$AG$1:$AH$975,2,FALSE),0)</f>
        <v>0</v>
      </c>
      <c r="Z367" s="60">
        <f>IFERROR(VLOOKUP(F367,Sheet2!$AA$1:$AB$975,2,FALSE),0)</f>
        <v>2</v>
      </c>
      <c r="AA367" s="64">
        <f>IFERROR(VLOOKUP(F367,Sheet2!$AC$1:$AD$975,2,FALSE),0)</f>
        <v>84</v>
      </c>
      <c r="AB367" s="65">
        <f>IFERROR(VLOOKUP(F367,Sheet2!$AE$2:$AF$6539,2,FALSE),0)</f>
        <v>1</v>
      </c>
      <c r="AC367" s="43">
        <f>IFERROR(VLOOKUP(F367,Sheet2!$AG$2:$AH$6539,2,FALSE),0)</f>
        <v>1</v>
      </c>
      <c r="AE367" s="112">
        <v>0</v>
      </c>
      <c r="AF367" s="9">
        <v>0</v>
      </c>
      <c r="AG367" s="9">
        <v>0</v>
      </c>
      <c r="AH367" s="9">
        <v>0</v>
      </c>
      <c r="AI367" s="9">
        <v>0</v>
      </c>
      <c r="AJ367" s="9">
        <f t="shared" si="12"/>
        <v>0</v>
      </c>
      <c r="AK367" s="45">
        <f t="shared" si="13"/>
        <v>0</v>
      </c>
      <c r="AL367" s="68">
        <v>6</v>
      </c>
      <c r="AM367" s="68">
        <v>0</v>
      </c>
    </row>
    <row r="368" spans="1:39" x14ac:dyDescent="0.2">
      <c r="A368" s="57" t="s">
        <v>2082</v>
      </c>
      <c r="B368" s="47">
        <v>46173</v>
      </c>
      <c r="C368" s="48"/>
      <c r="D368" s="48" t="s">
        <v>1815</v>
      </c>
      <c r="E368" s="49" t="s">
        <v>1795</v>
      </c>
      <c r="F368" s="40" t="s">
        <v>1778</v>
      </c>
      <c r="G368" s="47" t="e">
        <v>#N/A</v>
      </c>
      <c r="H368" s="47" t="s">
        <v>94</v>
      </c>
      <c r="I368" s="40" t="s">
        <v>1823</v>
      </c>
      <c r="J368" s="40" t="s">
        <v>1718</v>
      </c>
      <c r="K368" s="9" t="s">
        <v>24</v>
      </c>
      <c r="L368" s="9" t="s">
        <v>35</v>
      </c>
      <c r="M368" s="11"/>
      <c r="N368" s="11"/>
      <c r="O368" s="50">
        <v>12.6</v>
      </c>
      <c r="R368" s="9">
        <f>IFERROR(VLOOKUP(E368,Sheet6!$A$2:$B$500,2,FALSE),0)</f>
        <v>0</v>
      </c>
      <c r="S368" s="41">
        <f>IFERROR(VLOOKUP(E368,Sheet6!$C$2:$D$35017,2,FALSE),0)</f>
        <v>0</v>
      </c>
      <c r="U368" s="9">
        <f>IFERROR(VLOOKUP(E368,Sheet2!$AA$1:$AB$975,2,FALSE),0)</f>
        <v>0</v>
      </c>
      <c r="V368" s="41">
        <f>IFERROR(VLOOKUP(E368,Sheet2!$AC$1:$AD$975,2,FALSE),0)</f>
        <v>0</v>
      </c>
      <c r="W368" s="42">
        <f>IFERROR(VLOOKUP(E368,Sheet2!$AE$1:$AF$975,2,FALSE),0)</f>
        <v>0</v>
      </c>
      <c r="X368" s="43">
        <f>IFERROR(VLOOKUP(E368,Sheet2!$AG$1:$AH$975,2,FALSE),0)</f>
        <v>0</v>
      </c>
      <c r="Z368" s="60">
        <f>IFERROR(VLOOKUP(F368,Sheet2!$AA$1:$AB$975,2,FALSE),0)</f>
        <v>5</v>
      </c>
      <c r="AA368" s="64">
        <f>IFERROR(VLOOKUP(F368,Sheet2!$AC$1:$AD$975,2,FALSE),0)</f>
        <v>210</v>
      </c>
      <c r="AB368" s="65">
        <f>IFERROR(VLOOKUP(F368,Sheet2!$AE$2:$AF$6539,2,FALSE),0)</f>
        <v>19</v>
      </c>
      <c r="AC368" s="43">
        <f>IFERROR(VLOOKUP(F368,Sheet2!$AG$2:$AH$6539,2,FALSE),0)</f>
        <v>1</v>
      </c>
      <c r="AE368" s="112">
        <v>3</v>
      </c>
      <c r="AF368" s="9">
        <v>1</v>
      </c>
      <c r="AG368" s="9">
        <v>0</v>
      </c>
      <c r="AH368" s="9">
        <v>0</v>
      </c>
      <c r="AI368" s="9">
        <v>1</v>
      </c>
      <c r="AJ368" s="9">
        <f t="shared" si="12"/>
        <v>4</v>
      </c>
      <c r="AK368" s="45">
        <f t="shared" si="13"/>
        <v>50.4</v>
      </c>
      <c r="AL368" s="68">
        <v>12</v>
      </c>
      <c r="AM368" s="68">
        <v>0</v>
      </c>
    </row>
    <row r="369" spans="1:39" x14ac:dyDescent="0.2">
      <c r="A369" s="57" t="s">
        <v>2082</v>
      </c>
      <c r="B369" s="47">
        <v>46173</v>
      </c>
      <c r="C369" s="48"/>
      <c r="D369" s="48" t="s">
        <v>1816</v>
      </c>
      <c r="E369" s="49" t="s">
        <v>1796</v>
      </c>
      <c r="F369" s="40" t="s">
        <v>1779</v>
      </c>
      <c r="G369" s="47" t="e">
        <v>#N/A</v>
      </c>
      <c r="H369" s="47" t="s">
        <v>94</v>
      </c>
      <c r="I369" s="40" t="s">
        <v>1823</v>
      </c>
      <c r="J369" s="40" t="s">
        <v>1718</v>
      </c>
      <c r="K369" s="9" t="s">
        <v>41</v>
      </c>
      <c r="L369" s="9" t="s">
        <v>29</v>
      </c>
      <c r="M369" s="11"/>
      <c r="N369" s="11"/>
      <c r="O369" s="50">
        <v>12.6</v>
      </c>
      <c r="R369" s="9">
        <f>IFERROR(VLOOKUP(E369,Sheet6!$A$2:$B$500,2,FALSE),0)</f>
        <v>0</v>
      </c>
      <c r="S369" s="41">
        <f>IFERROR(VLOOKUP(E369,Sheet6!$C$2:$D$35017,2,FALSE),0)</f>
        <v>0</v>
      </c>
      <c r="U369" s="9">
        <f>IFERROR(VLOOKUP(E369,Sheet2!$AA$1:$AB$975,2,FALSE),0)</f>
        <v>0</v>
      </c>
      <c r="V369" s="41">
        <f>IFERROR(VLOOKUP(E369,Sheet2!$AC$1:$AD$975,2,FALSE),0)</f>
        <v>0</v>
      </c>
      <c r="W369" s="42">
        <f>IFERROR(VLOOKUP(E369,Sheet2!$AE$1:$AF$975,2,FALSE),0)</f>
        <v>0</v>
      </c>
      <c r="X369" s="43">
        <f>IFERROR(VLOOKUP(E369,Sheet2!$AG$1:$AH$975,2,FALSE),0)</f>
        <v>0</v>
      </c>
      <c r="Z369" s="60">
        <f>IFERROR(VLOOKUP(F369,Sheet2!$AA$1:$AB$975,2,FALSE),0)</f>
        <v>0</v>
      </c>
      <c r="AA369" s="64">
        <f>IFERROR(VLOOKUP(F369,Sheet2!$AC$1:$AD$975,2,FALSE),0)</f>
        <v>0</v>
      </c>
      <c r="AB369" s="65">
        <f>IFERROR(VLOOKUP(F369,Sheet2!$AE$2:$AF$6539,2,FALSE),0)</f>
        <v>0</v>
      </c>
      <c r="AC369" s="43">
        <f>IFERROR(VLOOKUP(F369,Sheet2!$AG$2:$AH$6539,2,FALSE),0)</f>
        <v>0</v>
      </c>
      <c r="AE369" s="112">
        <v>3</v>
      </c>
      <c r="AF369" s="9">
        <v>0</v>
      </c>
      <c r="AG369" s="9">
        <v>0</v>
      </c>
      <c r="AH369" s="9">
        <v>0</v>
      </c>
      <c r="AI369" s="9">
        <v>0</v>
      </c>
      <c r="AJ369" s="9">
        <f t="shared" si="12"/>
        <v>3</v>
      </c>
      <c r="AK369" s="45">
        <f t="shared" si="13"/>
        <v>37.799999999999997</v>
      </c>
      <c r="AL369" s="68">
        <v>0</v>
      </c>
      <c r="AM369" s="68">
        <v>0</v>
      </c>
    </row>
    <row r="370" spans="1:39" x14ac:dyDescent="0.2">
      <c r="A370" s="57" t="s">
        <v>2082</v>
      </c>
      <c r="B370" s="47">
        <v>46173</v>
      </c>
      <c r="C370" s="48"/>
      <c r="D370" s="48" t="s">
        <v>1817</v>
      </c>
      <c r="E370" s="49" t="s">
        <v>1797</v>
      </c>
      <c r="F370" s="40" t="s">
        <v>1780</v>
      </c>
      <c r="G370" s="47" t="e">
        <v>#N/A</v>
      </c>
      <c r="H370" s="47" t="s">
        <v>94</v>
      </c>
      <c r="I370" s="40" t="s">
        <v>1823</v>
      </c>
      <c r="J370" s="40" t="s">
        <v>1718</v>
      </c>
      <c r="K370" s="9" t="s">
        <v>41</v>
      </c>
      <c r="L370" s="9" t="s">
        <v>32</v>
      </c>
      <c r="M370" s="11"/>
      <c r="N370" s="11"/>
      <c r="O370" s="50">
        <v>12.6</v>
      </c>
      <c r="R370" s="9">
        <f>IFERROR(VLOOKUP(E370,Sheet6!$A$2:$B$500,2,FALSE),0)</f>
        <v>1</v>
      </c>
      <c r="S370" s="41">
        <f>IFERROR(VLOOKUP(E370,Sheet6!$C$2:$D$35017,2,FALSE),0)</f>
        <v>42</v>
      </c>
      <c r="U370" s="9">
        <f>IFERROR(VLOOKUP(E370,Sheet2!$AA$1:$AB$975,2,FALSE),0)</f>
        <v>0</v>
      </c>
      <c r="V370" s="41">
        <f>IFERROR(VLOOKUP(E370,Sheet2!$AC$1:$AD$975,2,FALSE),0)</f>
        <v>0</v>
      </c>
      <c r="W370" s="42">
        <f>IFERROR(VLOOKUP(E370,Sheet2!$AE$1:$AF$975,2,FALSE),0)</f>
        <v>0</v>
      </c>
      <c r="X370" s="43">
        <f>IFERROR(VLOOKUP(E370,Sheet2!$AG$1:$AH$975,2,FALSE),0)</f>
        <v>0</v>
      </c>
      <c r="Z370" s="60">
        <f>IFERROR(VLOOKUP(F370,Sheet2!$AA$1:$AB$975,2,FALSE),0)</f>
        <v>2</v>
      </c>
      <c r="AA370" s="64">
        <f>IFERROR(VLOOKUP(F370,Sheet2!$AC$1:$AD$975,2,FALSE),0)</f>
        <v>84</v>
      </c>
      <c r="AB370" s="65">
        <f>IFERROR(VLOOKUP(F370,Sheet2!$AE$2:$AF$6539,2,FALSE),0)</f>
        <v>23</v>
      </c>
      <c r="AC370" s="43">
        <f>IFERROR(VLOOKUP(F370,Sheet2!$AG$2:$AH$6539,2,FALSE),0)</f>
        <v>1</v>
      </c>
      <c r="AE370" s="112">
        <v>8</v>
      </c>
      <c r="AF370" s="9">
        <v>6</v>
      </c>
      <c r="AG370" s="9">
        <v>0</v>
      </c>
      <c r="AH370" s="9">
        <v>1</v>
      </c>
      <c r="AI370" s="9">
        <v>7</v>
      </c>
      <c r="AJ370" s="9">
        <f t="shared" si="12"/>
        <v>15</v>
      </c>
      <c r="AK370" s="45">
        <f t="shared" si="13"/>
        <v>189</v>
      </c>
      <c r="AL370" s="68">
        <v>0</v>
      </c>
      <c r="AM370" s="68">
        <v>0</v>
      </c>
    </row>
    <row r="371" spans="1:39" x14ac:dyDescent="0.2">
      <c r="A371" s="57" t="s">
        <v>2082</v>
      </c>
      <c r="B371" s="47">
        <v>46173</v>
      </c>
      <c r="C371" s="48"/>
      <c r="D371" s="48" t="s">
        <v>1818</v>
      </c>
      <c r="E371" s="49" t="s">
        <v>1719</v>
      </c>
      <c r="F371" s="40" t="s">
        <v>1781</v>
      </c>
      <c r="G371" s="47" t="e">
        <v>#N/A</v>
      </c>
      <c r="H371" s="47" t="s">
        <v>94</v>
      </c>
      <c r="I371" s="40" t="s">
        <v>1823</v>
      </c>
      <c r="J371" s="40" t="s">
        <v>1718</v>
      </c>
      <c r="K371" s="9" t="s">
        <v>41</v>
      </c>
      <c r="L371" s="9" t="s">
        <v>35</v>
      </c>
      <c r="M371" s="11"/>
      <c r="N371" s="11"/>
      <c r="O371" s="50">
        <v>12.6</v>
      </c>
      <c r="R371" s="9">
        <f>IFERROR(VLOOKUP(E371,Sheet6!$A$2:$B$500,2,FALSE),0)</f>
        <v>1</v>
      </c>
      <c r="S371" s="41">
        <f>IFERROR(VLOOKUP(E371,Sheet6!$C$2:$D$35017,2,FALSE),0)</f>
        <v>42</v>
      </c>
      <c r="U371" s="9">
        <f>IFERROR(VLOOKUP(E371,Sheet2!$AA$1:$AB$975,2,FALSE),0)</f>
        <v>0</v>
      </c>
      <c r="V371" s="41">
        <f>IFERROR(VLOOKUP(E371,Sheet2!$AC$1:$AD$975,2,FALSE),0)</f>
        <v>0</v>
      </c>
      <c r="W371" s="42">
        <f>IFERROR(VLOOKUP(E371,Sheet2!$AE$1:$AF$975,2,FALSE),0)</f>
        <v>0</v>
      </c>
      <c r="X371" s="43">
        <f>IFERROR(VLOOKUP(E371,Sheet2!$AG$1:$AH$975,2,FALSE),0)</f>
        <v>0</v>
      </c>
      <c r="Z371" s="60">
        <f>IFERROR(VLOOKUP(F371,Sheet2!$AA$1:$AB$975,2,FALSE),0)</f>
        <v>0</v>
      </c>
      <c r="AA371" s="64">
        <f>IFERROR(VLOOKUP(F371,Sheet2!$AC$1:$AD$975,2,FALSE),0)</f>
        <v>0</v>
      </c>
      <c r="AB371" s="65">
        <f>IFERROR(VLOOKUP(F371,Sheet2!$AE$2:$AF$6539,2,FALSE),0)</f>
        <v>0</v>
      </c>
      <c r="AC371" s="43">
        <f>IFERROR(VLOOKUP(F371,Sheet2!$AG$2:$AH$6539,2,FALSE),0)</f>
        <v>0</v>
      </c>
      <c r="AE371" s="112">
        <v>5</v>
      </c>
      <c r="AF371" s="9">
        <v>12</v>
      </c>
      <c r="AG371" s="9">
        <v>0</v>
      </c>
      <c r="AH371" s="9">
        <v>0</v>
      </c>
      <c r="AI371" s="9">
        <v>12</v>
      </c>
      <c r="AJ371" s="9">
        <f t="shared" si="12"/>
        <v>17</v>
      </c>
      <c r="AK371" s="45">
        <f t="shared" si="13"/>
        <v>214.2</v>
      </c>
      <c r="AL371" s="68">
        <v>0</v>
      </c>
      <c r="AM371" s="68">
        <v>0</v>
      </c>
    </row>
    <row r="372" spans="1:39" x14ac:dyDescent="0.2">
      <c r="A372" s="57" t="s">
        <v>2082</v>
      </c>
      <c r="B372" s="47">
        <v>46173</v>
      </c>
      <c r="C372" s="48"/>
      <c r="D372" s="48" t="s">
        <v>1557</v>
      </c>
      <c r="E372" s="49" t="s">
        <v>754</v>
      </c>
      <c r="F372" s="49" t="s">
        <v>755</v>
      </c>
      <c r="G372" s="47" t="e">
        <v>#N/A</v>
      </c>
      <c r="H372" s="47" t="s">
        <v>94</v>
      </c>
      <c r="I372" s="40" t="s">
        <v>756</v>
      </c>
      <c r="J372" s="40" t="s">
        <v>1726</v>
      </c>
      <c r="K372" s="40" t="s">
        <v>392</v>
      </c>
      <c r="L372" s="40" t="s">
        <v>637</v>
      </c>
      <c r="M372" s="11"/>
      <c r="N372" s="11"/>
      <c r="O372" s="50">
        <v>20.736000000000001</v>
      </c>
      <c r="R372" s="9">
        <f>IFERROR(VLOOKUP(E372,Sheet6!$A$2:$B$500,2,FALSE),0)</f>
        <v>0</v>
      </c>
      <c r="S372" s="41">
        <f>IFERROR(VLOOKUP(E372,Sheet6!$C$2:$D$35017,2,FALSE),0)</f>
        <v>0</v>
      </c>
      <c r="U372" s="9">
        <f>IFERROR(VLOOKUP(E372,Sheet2!$AA$1:$AB$975,2,FALSE),0)</f>
        <v>0</v>
      </c>
      <c r="V372" s="41">
        <f>IFERROR(VLOOKUP(E372,Sheet2!$AC$1:$AD$975,2,FALSE),0)</f>
        <v>0</v>
      </c>
      <c r="W372" s="42">
        <f>IFERROR(VLOOKUP(E372,Sheet2!$AE$1:$AF$975,2,FALSE),0)</f>
        <v>0</v>
      </c>
      <c r="X372" s="43">
        <f>IFERROR(VLOOKUP(E372,Sheet2!$AG$1:$AH$975,2,FALSE),0)</f>
        <v>0</v>
      </c>
      <c r="Z372" s="60">
        <f>IFERROR(VLOOKUP(F372,Sheet2!$AA$1:$AB$975,2,FALSE),0)</f>
        <v>4</v>
      </c>
      <c r="AA372" s="64">
        <f>IFERROR(VLOOKUP(F372,Sheet2!$AC$1:$AD$975,2,FALSE),0)</f>
        <v>191.96</v>
      </c>
      <c r="AB372" s="65">
        <f>IFERROR(VLOOKUP(F372,Sheet2!$AE$2:$AF$6539,2,FALSE),0)</f>
        <v>57</v>
      </c>
      <c r="AC372" s="43">
        <f>IFERROR(VLOOKUP(F372,Sheet2!$AG$2:$AH$6539,2,FALSE),0)</f>
        <v>1</v>
      </c>
      <c r="AE372" s="112">
        <v>12</v>
      </c>
      <c r="AF372" s="9">
        <v>7</v>
      </c>
      <c r="AG372" s="9">
        <v>0</v>
      </c>
      <c r="AH372" s="9">
        <v>0</v>
      </c>
      <c r="AI372" s="9">
        <v>7</v>
      </c>
      <c r="AJ372" s="9">
        <f t="shared" si="12"/>
        <v>19</v>
      </c>
      <c r="AK372" s="45">
        <f t="shared" si="13"/>
        <v>393.98400000000004</v>
      </c>
      <c r="AL372" s="68">
        <v>6</v>
      </c>
      <c r="AM372" s="68">
        <v>0</v>
      </c>
    </row>
    <row r="373" spans="1:39" x14ac:dyDescent="0.2">
      <c r="A373" s="57" t="s">
        <v>2082</v>
      </c>
      <c r="B373" s="47">
        <v>46173</v>
      </c>
      <c r="C373" s="48"/>
      <c r="D373" s="48" t="s">
        <v>1558</v>
      </c>
      <c r="E373" s="49" t="s">
        <v>757</v>
      </c>
      <c r="F373" s="49" t="s">
        <v>758</v>
      </c>
      <c r="G373" s="47" t="e">
        <v>#N/A</v>
      </c>
      <c r="H373" s="47" t="s">
        <v>94</v>
      </c>
      <c r="I373" s="40" t="s">
        <v>756</v>
      </c>
      <c r="J373" s="40" t="s">
        <v>1726</v>
      </c>
      <c r="K373" s="40" t="s">
        <v>392</v>
      </c>
      <c r="L373" s="40" t="s">
        <v>644</v>
      </c>
      <c r="M373" s="11"/>
      <c r="N373" s="11"/>
      <c r="O373" s="50">
        <v>20.736000000000001</v>
      </c>
      <c r="R373" s="9">
        <f>IFERROR(VLOOKUP(E373,Sheet6!$A$2:$B$500,2,FALSE),0)</f>
        <v>-2</v>
      </c>
      <c r="S373" s="41">
        <f>IFERROR(VLOOKUP(E373,Sheet6!$C$2:$D$35017,2,FALSE),0)</f>
        <v>-81.599999999999994</v>
      </c>
      <c r="U373" s="9">
        <f>IFERROR(VLOOKUP(E373,Sheet2!$AA$1:$AB$975,2,FALSE),0)</f>
        <v>1</v>
      </c>
      <c r="V373" s="41">
        <f>IFERROR(VLOOKUP(E373,Sheet2!$AC$1:$AD$975,2,FALSE),0)</f>
        <v>47.99</v>
      </c>
      <c r="W373" s="42">
        <f>IFERROR(VLOOKUP(E373,Sheet2!$AE$1:$AF$975,2,FALSE),0)</f>
        <v>69</v>
      </c>
      <c r="X373" s="43">
        <f>IFERROR(VLOOKUP(E373,Sheet2!$AG$1:$AH$975,2,FALSE),0)</f>
        <v>0.89290000000000003</v>
      </c>
      <c r="Z373" s="60">
        <f>IFERROR(VLOOKUP(F373,Sheet2!$AA$1:$AB$975,2,FALSE),0)</f>
        <v>4</v>
      </c>
      <c r="AA373" s="64">
        <f>IFERROR(VLOOKUP(F373,Sheet2!$AC$1:$AD$975,2,FALSE),0)</f>
        <v>191.96</v>
      </c>
      <c r="AB373" s="65">
        <f>IFERROR(VLOOKUP(F373,Sheet2!$AE$2:$AF$6539,2,FALSE),0)</f>
        <v>69</v>
      </c>
      <c r="AC373" s="43">
        <f>IFERROR(VLOOKUP(F373,Sheet2!$AG$2:$AH$6539,2,FALSE),0)</f>
        <v>0.89290000000000003</v>
      </c>
      <c r="AE373" s="112">
        <v>0</v>
      </c>
      <c r="AF373" s="9">
        <v>0</v>
      </c>
      <c r="AG373" s="9">
        <v>0</v>
      </c>
      <c r="AH373" s="9">
        <v>5</v>
      </c>
      <c r="AI373" s="9">
        <v>5</v>
      </c>
      <c r="AJ373" s="9">
        <f t="shared" si="12"/>
        <v>5</v>
      </c>
      <c r="AK373" s="45">
        <f t="shared" si="13"/>
        <v>103.68</v>
      </c>
      <c r="AL373" s="68">
        <v>12</v>
      </c>
      <c r="AM373" s="68">
        <v>0</v>
      </c>
    </row>
    <row r="374" spans="1:39" x14ac:dyDescent="0.2">
      <c r="A374" s="57" t="s">
        <v>2082</v>
      </c>
      <c r="B374" s="47">
        <v>46173</v>
      </c>
      <c r="C374" s="48"/>
      <c r="D374" s="48" t="s">
        <v>1559</v>
      </c>
      <c r="E374" s="49" t="s">
        <v>759</v>
      </c>
      <c r="F374" s="49" t="s">
        <v>760</v>
      </c>
      <c r="G374" s="47" t="e">
        <v>#N/A</v>
      </c>
      <c r="H374" s="47" t="s">
        <v>94</v>
      </c>
      <c r="I374" s="40" t="s">
        <v>756</v>
      </c>
      <c r="J374" s="40" t="s">
        <v>1726</v>
      </c>
      <c r="K374" s="40" t="s">
        <v>392</v>
      </c>
      <c r="L374" s="40" t="s">
        <v>656</v>
      </c>
      <c r="M374" s="11"/>
      <c r="N374" s="11"/>
      <c r="O374" s="50">
        <v>20.736000000000001</v>
      </c>
      <c r="R374" s="9">
        <f>IFERROR(VLOOKUP(E374,Sheet6!$A$2:$B$500,2,FALSE),0)</f>
        <v>0</v>
      </c>
      <c r="S374" s="41">
        <f>IFERROR(VLOOKUP(E374,Sheet6!$C$2:$D$35017,2,FALSE),0)</f>
        <v>0</v>
      </c>
      <c r="U374" s="9">
        <f>IFERROR(VLOOKUP(E374,Sheet2!$AA$1:$AB$975,2,FALSE),0)</f>
        <v>0</v>
      </c>
      <c r="V374" s="41">
        <f>IFERROR(VLOOKUP(E374,Sheet2!$AC$1:$AD$975,2,FALSE),0)</f>
        <v>0</v>
      </c>
      <c r="W374" s="42">
        <f>IFERROR(VLOOKUP(E374,Sheet2!$AE$1:$AF$975,2,FALSE),0)</f>
        <v>0</v>
      </c>
      <c r="X374" s="43">
        <f>IFERROR(VLOOKUP(E374,Sheet2!$AG$1:$AH$975,2,FALSE),0)</f>
        <v>0</v>
      </c>
      <c r="Z374" s="60">
        <f>IFERROR(VLOOKUP(F374,Sheet2!$AA$1:$AB$975,2,FALSE),0)</f>
        <v>8</v>
      </c>
      <c r="AA374" s="64">
        <f>IFERROR(VLOOKUP(F374,Sheet2!$AC$1:$AD$975,2,FALSE),0)</f>
        <v>383.92</v>
      </c>
      <c r="AB374" s="65">
        <f>IFERROR(VLOOKUP(F374,Sheet2!$AE$2:$AF$6539,2,FALSE),0)</f>
        <v>55</v>
      </c>
      <c r="AC374" s="43">
        <f>IFERROR(VLOOKUP(F374,Sheet2!$AG$2:$AH$6539,2,FALSE),0)</f>
        <v>0.96919999999999995</v>
      </c>
      <c r="AE374" s="112">
        <v>9</v>
      </c>
      <c r="AF374" s="9">
        <v>9</v>
      </c>
      <c r="AG374" s="9">
        <v>0</v>
      </c>
      <c r="AH374" s="9">
        <v>0</v>
      </c>
      <c r="AI374" s="9">
        <v>9</v>
      </c>
      <c r="AJ374" s="9">
        <f t="shared" si="12"/>
        <v>18</v>
      </c>
      <c r="AK374" s="45">
        <f t="shared" si="13"/>
        <v>373.24799999999999</v>
      </c>
      <c r="AL374" s="68">
        <v>6</v>
      </c>
      <c r="AM374" s="68">
        <v>0</v>
      </c>
    </row>
    <row r="375" spans="1:39" x14ac:dyDescent="0.2">
      <c r="A375" s="57" t="s">
        <v>2082</v>
      </c>
      <c r="B375" s="47">
        <v>46173</v>
      </c>
      <c r="C375" s="48"/>
      <c r="D375" s="48" t="s">
        <v>1560</v>
      </c>
      <c r="E375" s="49" t="s">
        <v>761</v>
      </c>
      <c r="F375" s="49" t="s">
        <v>762</v>
      </c>
      <c r="G375" s="47" t="e">
        <v>#N/A</v>
      </c>
      <c r="H375" s="47" t="s">
        <v>94</v>
      </c>
      <c r="I375" s="40" t="s">
        <v>756</v>
      </c>
      <c r="J375" s="40" t="s">
        <v>1726</v>
      </c>
      <c r="K375" s="40" t="s">
        <v>721</v>
      </c>
      <c r="L375" s="40" t="s">
        <v>637</v>
      </c>
      <c r="M375" s="11"/>
      <c r="N375" s="11"/>
      <c r="O375" s="50">
        <v>20.736000000000001</v>
      </c>
      <c r="R375" s="9">
        <f>IFERROR(VLOOKUP(E375,Sheet6!$A$2:$B$500,2,FALSE),0)</f>
        <v>0</v>
      </c>
      <c r="S375" s="41">
        <f>IFERROR(VLOOKUP(E375,Sheet6!$C$2:$D$35017,2,FALSE),0)</f>
        <v>0</v>
      </c>
      <c r="U375" s="9">
        <f>IFERROR(VLOOKUP(E375,Sheet2!$AA$1:$AB$975,2,FALSE),0)</f>
        <v>0</v>
      </c>
      <c r="V375" s="41">
        <f>IFERROR(VLOOKUP(E375,Sheet2!$AC$1:$AD$975,2,FALSE),0)</f>
        <v>0</v>
      </c>
      <c r="W375" s="42">
        <f>IFERROR(VLOOKUP(E375,Sheet2!$AE$1:$AF$975,2,FALSE),0)</f>
        <v>0</v>
      </c>
      <c r="X375" s="43">
        <f>IFERROR(VLOOKUP(E375,Sheet2!$AG$1:$AH$975,2,FALSE),0)</f>
        <v>0</v>
      </c>
      <c r="Z375" s="60">
        <f>IFERROR(VLOOKUP(F375,Sheet2!$AA$1:$AB$975,2,FALSE),0)</f>
        <v>4</v>
      </c>
      <c r="AA375" s="64">
        <f>IFERROR(VLOOKUP(F375,Sheet2!$AC$1:$AD$975,2,FALSE),0)</f>
        <v>191.96</v>
      </c>
      <c r="AB375" s="65">
        <f>IFERROR(VLOOKUP(F375,Sheet2!$AE$2:$AF$6539,2,FALSE),0)</f>
        <v>85</v>
      </c>
      <c r="AC375" s="43">
        <f>IFERROR(VLOOKUP(F375,Sheet2!$AG$2:$AH$6539,2,FALSE),0)</f>
        <v>0.47</v>
      </c>
      <c r="AE375" s="112">
        <v>8</v>
      </c>
      <c r="AF375" s="9">
        <v>6</v>
      </c>
      <c r="AG375" s="9">
        <v>0</v>
      </c>
      <c r="AH375" s="9">
        <v>0</v>
      </c>
      <c r="AI375" s="9">
        <v>6</v>
      </c>
      <c r="AJ375" s="9">
        <f t="shared" si="12"/>
        <v>14</v>
      </c>
      <c r="AK375" s="45">
        <f t="shared" si="13"/>
        <v>290.30400000000003</v>
      </c>
      <c r="AL375" s="68">
        <v>24</v>
      </c>
      <c r="AM375" s="68">
        <v>0</v>
      </c>
    </row>
    <row r="376" spans="1:39" x14ac:dyDescent="0.2">
      <c r="A376" s="57" t="s">
        <v>2082</v>
      </c>
      <c r="B376" s="47">
        <v>46173</v>
      </c>
      <c r="C376" s="48"/>
      <c r="D376" s="48" t="s">
        <v>1561</v>
      </c>
      <c r="E376" s="49" t="s">
        <v>763</v>
      </c>
      <c r="F376" s="49" t="s">
        <v>764</v>
      </c>
      <c r="G376" s="47" t="e">
        <v>#N/A</v>
      </c>
      <c r="H376" s="47" t="s">
        <v>94</v>
      </c>
      <c r="I376" s="40" t="s">
        <v>756</v>
      </c>
      <c r="J376" s="40" t="s">
        <v>1726</v>
      </c>
      <c r="K376" s="40" t="s">
        <v>721</v>
      </c>
      <c r="L376" s="40" t="s">
        <v>644</v>
      </c>
      <c r="M376" s="11"/>
      <c r="N376" s="11"/>
      <c r="O376" s="50">
        <v>20.736000000000001</v>
      </c>
      <c r="R376" s="9">
        <f>IFERROR(VLOOKUP(E376,Sheet6!$A$2:$B$500,2,FALSE),0)</f>
        <v>0</v>
      </c>
      <c r="S376" s="41">
        <f>IFERROR(VLOOKUP(E376,Sheet6!$C$2:$D$35017,2,FALSE),0)</f>
        <v>0</v>
      </c>
      <c r="U376" s="9">
        <f>IFERROR(VLOOKUP(E376,Sheet2!$AA$1:$AB$975,2,FALSE),0)</f>
        <v>0</v>
      </c>
      <c r="V376" s="41">
        <f>IFERROR(VLOOKUP(E376,Sheet2!$AC$1:$AD$975,2,FALSE),0)</f>
        <v>0</v>
      </c>
      <c r="W376" s="42">
        <f>IFERROR(VLOOKUP(E376,Sheet2!$AE$1:$AF$975,2,FALSE),0)</f>
        <v>0</v>
      </c>
      <c r="X376" s="43">
        <f>IFERROR(VLOOKUP(E376,Sheet2!$AG$1:$AH$975,2,FALSE),0)</f>
        <v>0</v>
      </c>
      <c r="Z376" s="60">
        <f>IFERROR(VLOOKUP(F376,Sheet2!$AA$1:$AB$975,2,FALSE),0)</f>
        <v>8</v>
      </c>
      <c r="AA376" s="64">
        <f>IFERROR(VLOOKUP(F376,Sheet2!$AC$1:$AD$975,2,FALSE),0)</f>
        <v>383.92</v>
      </c>
      <c r="AB376" s="65">
        <f>IFERROR(VLOOKUP(F376,Sheet2!$AE$2:$AF$6539,2,FALSE),0)</f>
        <v>147</v>
      </c>
      <c r="AC376" s="43">
        <f>IFERROR(VLOOKUP(F376,Sheet2!$AG$2:$AH$6539,2,FALSE),0)</f>
        <v>0.39889999999999998</v>
      </c>
      <c r="AE376" s="112">
        <v>1</v>
      </c>
      <c r="AF376" s="9">
        <v>2</v>
      </c>
      <c r="AG376" s="9">
        <v>0</v>
      </c>
      <c r="AH376" s="9">
        <v>0</v>
      </c>
      <c r="AI376" s="9">
        <v>2</v>
      </c>
      <c r="AJ376" s="9">
        <f t="shared" si="12"/>
        <v>3</v>
      </c>
      <c r="AK376" s="45">
        <f t="shared" si="13"/>
        <v>62.207999999999998</v>
      </c>
      <c r="AL376" s="68">
        <v>0</v>
      </c>
      <c r="AM376" s="68">
        <v>0</v>
      </c>
    </row>
    <row r="377" spans="1:39" x14ac:dyDescent="0.2">
      <c r="A377" s="57" t="s">
        <v>2082</v>
      </c>
      <c r="B377" s="47">
        <v>46173</v>
      </c>
      <c r="C377" s="48"/>
      <c r="D377" s="48" t="s">
        <v>1562</v>
      </c>
      <c r="E377" s="49" t="s">
        <v>765</v>
      </c>
      <c r="F377" s="49" t="s">
        <v>766</v>
      </c>
      <c r="G377" s="47" t="e">
        <v>#N/A</v>
      </c>
      <c r="H377" s="47" t="s">
        <v>94</v>
      </c>
      <c r="I377" s="40" t="s">
        <v>756</v>
      </c>
      <c r="J377" s="40" t="s">
        <v>1726</v>
      </c>
      <c r="K377" s="40" t="s">
        <v>721</v>
      </c>
      <c r="L377" s="40" t="s">
        <v>656</v>
      </c>
      <c r="M377" s="11"/>
      <c r="N377" s="11"/>
      <c r="O377" s="50">
        <v>20.736000000000001</v>
      </c>
      <c r="R377" s="9">
        <f>IFERROR(VLOOKUP(E377,Sheet6!$A$2:$B$500,2,FALSE),0)</f>
        <v>0</v>
      </c>
      <c r="S377" s="41">
        <f>IFERROR(VLOOKUP(E377,Sheet6!$C$2:$D$35017,2,FALSE),0)</f>
        <v>0</v>
      </c>
      <c r="U377" s="9">
        <f>IFERROR(VLOOKUP(E377,Sheet2!$AA$1:$AB$975,2,FALSE),0)</f>
        <v>0</v>
      </c>
      <c r="V377" s="41">
        <f>IFERROR(VLOOKUP(E377,Sheet2!$AC$1:$AD$975,2,FALSE),0)</f>
        <v>0</v>
      </c>
      <c r="W377" s="42">
        <f>IFERROR(VLOOKUP(E377,Sheet2!$AE$1:$AF$975,2,FALSE),0)</f>
        <v>0</v>
      </c>
      <c r="X377" s="43">
        <f>IFERROR(VLOOKUP(E377,Sheet2!$AG$1:$AH$975,2,FALSE),0)</f>
        <v>0</v>
      </c>
      <c r="Z377" s="60">
        <f>IFERROR(VLOOKUP(F377,Sheet2!$AA$1:$AB$975,2,FALSE),0)</f>
        <v>10</v>
      </c>
      <c r="AA377" s="64">
        <f>IFERROR(VLOOKUP(F377,Sheet2!$AC$1:$AD$975,2,FALSE),0)</f>
        <v>479.9</v>
      </c>
      <c r="AB377" s="65">
        <f>IFERROR(VLOOKUP(F377,Sheet2!$AE$2:$AF$6539,2,FALSE),0)</f>
        <v>125</v>
      </c>
      <c r="AC377" s="43">
        <f>IFERROR(VLOOKUP(F377,Sheet2!$AG$2:$AH$6539,2,FALSE),0)</f>
        <v>0.77480000000000004</v>
      </c>
      <c r="AE377" s="112">
        <v>7</v>
      </c>
      <c r="AF377" s="9">
        <v>3</v>
      </c>
      <c r="AG377" s="9">
        <v>0</v>
      </c>
      <c r="AH377" s="9">
        <v>2</v>
      </c>
      <c r="AI377" s="9">
        <v>5</v>
      </c>
      <c r="AJ377" s="9">
        <f t="shared" si="12"/>
        <v>12</v>
      </c>
      <c r="AK377" s="45">
        <f t="shared" si="13"/>
        <v>248.83199999999999</v>
      </c>
      <c r="AL377" s="68">
        <v>12</v>
      </c>
      <c r="AM377" s="68">
        <v>0</v>
      </c>
    </row>
    <row r="378" spans="1:39" x14ac:dyDescent="0.2">
      <c r="A378" s="57" t="s">
        <v>2082</v>
      </c>
      <c r="B378" s="47">
        <v>46173</v>
      </c>
      <c r="C378" s="48"/>
      <c r="D378" s="48" t="s">
        <v>1563</v>
      </c>
      <c r="E378" s="49" t="s">
        <v>767</v>
      </c>
      <c r="F378" s="49" t="s">
        <v>768</v>
      </c>
      <c r="G378" s="47" t="e">
        <v>#N/A</v>
      </c>
      <c r="H378" s="47" t="s">
        <v>94</v>
      </c>
      <c r="I378" s="40" t="s">
        <v>769</v>
      </c>
      <c r="J378" s="40" t="s">
        <v>1716</v>
      </c>
      <c r="K378" s="40" t="s">
        <v>24</v>
      </c>
      <c r="L378" s="40" t="s">
        <v>637</v>
      </c>
      <c r="M378" s="11"/>
      <c r="N378" s="11"/>
      <c r="O378" s="50">
        <v>19.8</v>
      </c>
      <c r="R378" s="9">
        <f>IFERROR(VLOOKUP(E378,Sheet6!$A$2:$B$500,2,FALSE),0)</f>
        <v>0</v>
      </c>
      <c r="S378" s="41">
        <f>IFERROR(VLOOKUP(E378,Sheet6!$C$2:$D$35017,2,FALSE),0)</f>
        <v>0</v>
      </c>
      <c r="U378" s="9">
        <f>IFERROR(VLOOKUP(E378,Sheet2!$AA$1:$AB$975,2,FALSE),0)</f>
        <v>2</v>
      </c>
      <c r="V378" s="41">
        <f>IFERROR(VLOOKUP(E378,Sheet2!$AC$1:$AD$975,2,FALSE),0)</f>
        <v>87.98</v>
      </c>
      <c r="W378" s="42">
        <f>IFERROR(VLOOKUP(E378,Sheet2!$AE$1:$AF$975,2,FALSE),0)</f>
        <v>161</v>
      </c>
      <c r="X378" s="43">
        <f>IFERROR(VLOOKUP(E378,Sheet2!$AG$1:$AH$975,2,FALSE),0)</f>
        <v>0.36630000000000001</v>
      </c>
      <c r="Z378" s="60">
        <f>IFERROR(VLOOKUP(F378,Sheet2!$AA$1:$AB$975,2,FALSE),0)</f>
        <v>12</v>
      </c>
      <c r="AA378" s="64">
        <f>IFERROR(VLOOKUP(F378,Sheet2!$AC$1:$AD$975,2,FALSE),0)</f>
        <v>527.88</v>
      </c>
      <c r="AB378" s="65">
        <f>IFERROR(VLOOKUP(F378,Sheet2!$AE$2:$AF$6539,2,FALSE),0)</f>
        <v>161</v>
      </c>
      <c r="AC378" s="43">
        <f>IFERROR(VLOOKUP(F378,Sheet2!$AG$2:$AH$6539,2,FALSE),0)</f>
        <v>0.36630000000000001</v>
      </c>
      <c r="AE378" s="112">
        <v>10</v>
      </c>
      <c r="AF378" s="9">
        <v>0</v>
      </c>
      <c r="AG378" s="9">
        <v>0</v>
      </c>
      <c r="AH378" s="9">
        <v>0</v>
      </c>
      <c r="AI378" s="9">
        <v>0</v>
      </c>
      <c r="AJ378" s="9">
        <f t="shared" si="12"/>
        <v>10</v>
      </c>
      <c r="AK378" s="45">
        <f t="shared" si="13"/>
        <v>198</v>
      </c>
      <c r="AL378" s="68">
        <v>24</v>
      </c>
      <c r="AM378" s="68">
        <v>6</v>
      </c>
    </row>
    <row r="379" spans="1:39" x14ac:dyDescent="0.2">
      <c r="A379" s="57" t="s">
        <v>2082</v>
      </c>
      <c r="B379" s="47">
        <v>46173</v>
      </c>
      <c r="C379" s="48"/>
      <c r="D379" s="48" t="s">
        <v>1564</v>
      </c>
      <c r="E379" s="49" t="s">
        <v>770</v>
      </c>
      <c r="F379" s="49" t="s">
        <v>771</v>
      </c>
      <c r="G379" s="47" t="e">
        <v>#N/A</v>
      </c>
      <c r="H379" s="47" t="s">
        <v>94</v>
      </c>
      <c r="I379" s="40" t="s">
        <v>769</v>
      </c>
      <c r="J379" s="40" t="s">
        <v>1716</v>
      </c>
      <c r="K379" s="40" t="s">
        <v>24</v>
      </c>
      <c r="L379" s="40" t="s">
        <v>644</v>
      </c>
      <c r="M379" s="11"/>
      <c r="N379" s="11"/>
      <c r="O379" s="50">
        <v>19.8</v>
      </c>
      <c r="R379" s="9">
        <f>IFERROR(VLOOKUP(E379,Sheet6!$A$2:$B$500,2,FALSE),0)</f>
        <v>0</v>
      </c>
      <c r="S379" s="41">
        <f>IFERROR(VLOOKUP(E379,Sheet6!$C$2:$D$35017,2,FALSE),0)</f>
        <v>0</v>
      </c>
      <c r="U379" s="9">
        <f>IFERROR(VLOOKUP(E379,Sheet2!$AA$1:$AB$975,2,FALSE),0)</f>
        <v>0</v>
      </c>
      <c r="V379" s="41">
        <f>IFERROR(VLOOKUP(E379,Sheet2!$AC$1:$AD$975,2,FALSE),0)</f>
        <v>0</v>
      </c>
      <c r="W379" s="42">
        <f>IFERROR(VLOOKUP(E379,Sheet2!$AE$1:$AF$975,2,FALSE),0)</f>
        <v>0</v>
      </c>
      <c r="X379" s="43">
        <f>IFERROR(VLOOKUP(E379,Sheet2!$AG$1:$AH$975,2,FALSE),0)</f>
        <v>0</v>
      </c>
      <c r="Z379" s="60">
        <f>IFERROR(VLOOKUP(F379,Sheet2!$AA$1:$AB$975,2,FALSE),0)</f>
        <v>12</v>
      </c>
      <c r="AA379" s="64">
        <f>IFERROR(VLOOKUP(F379,Sheet2!$AC$1:$AD$975,2,FALSE),0)</f>
        <v>527.88</v>
      </c>
      <c r="AB379" s="65">
        <f>IFERROR(VLOOKUP(F379,Sheet2!$AE$2:$AF$6539,2,FALSE),0)</f>
        <v>31</v>
      </c>
      <c r="AC379" s="43">
        <f>IFERROR(VLOOKUP(F379,Sheet2!$AG$2:$AH$6539,2,FALSE),0)</f>
        <v>1</v>
      </c>
      <c r="AE379" s="112">
        <v>0</v>
      </c>
      <c r="AF379" s="9">
        <v>0</v>
      </c>
      <c r="AG379" s="9">
        <v>0</v>
      </c>
      <c r="AH379" s="9">
        <v>48</v>
      </c>
      <c r="AI379" s="9">
        <v>48</v>
      </c>
      <c r="AJ379" s="9">
        <f t="shared" si="12"/>
        <v>48</v>
      </c>
      <c r="AK379" s="45">
        <f t="shared" si="13"/>
        <v>950.40000000000009</v>
      </c>
      <c r="AL379" s="68">
        <v>0</v>
      </c>
      <c r="AM379" s="68">
        <v>12</v>
      </c>
    </row>
    <row r="380" spans="1:39" x14ac:dyDescent="0.2">
      <c r="A380" s="57" t="s">
        <v>2082</v>
      </c>
      <c r="B380" s="47">
        <v>46173</v>
      </c>
      <c r="C380" s="48"/>
      <c r="D380" s="48" t="s">
        <v>1565</v>
      </c>
      <c r="E380" s="49" t="s">
        <v>772</v>
      </c>
      <c r="F380" s="49" t="s">
        <v>773</v>
      </c>
      <c r="G380" s="47" t="e">
        <v>#N/A</v>
      </c>
      <c r="H380" s="47" t="s">
        <v>94</v>
      </c>
      <c r="I380" s="40" t="s">
        <v>769</v>
      </c>
      <c r="J380" s="40" t="s">
        <v>1716</v>
      </c>
      <c r="K380" s="40" t="s">
        <v>24</v>
      </c>
      <c r="L380" s="40" t="s">
        <v>656</v>
      </c>
      <c r="M380" s="11"/>
      <c r="N380" s="11"/>
      <c r="O380" s="50">
        <v>19.8</v>
      </c>
      <c r="R380" s="9">
        <f>IFERROR(VLOOKUP(E380,Sheet6!$A$2:$B$500,2,FALSE),0)</f>
        <v>0</v>
      </c>
      <c r="S380" s="41">
        <f>IFERROR(VLOOKUP(E380,Sheet6!$C$2:$D$35017,2,FALSE),0)</f>
        <v>0</v>
      </c>
      <c r="U380" s="9">
        <f>IFERROR(VLOOKUP(E380,Sheet2!$AA$1:$AB$975,2,FALSE),0)</f>
        <v>2</v>
      </c>
      <c r="V380" s="41">
        <f>IFERROR(VLOOKUP(E380,Sheet2!$AC$1:$AD$975,2,FALSE),0)</f>
        <v>87.98</v>
      </c>
      <c r="W380" s="42">
        <f>IFERROR(VLOOKUP(E380,Sheet2!$AE$1:$AF$975,2,FALSE),0)</f>
        <v>79</v>
      </c>
      <c r="X380" s="43">
        <f>IFERROR(VLOOKUP(E380,Sheet2!$AG$1:$AH$975,2,FALSE),0)</f>
        <v>0.71789999999999998</v>
      </c>
      <c r="Z380" s="60">
        <f>IFERROR(VLOOKUP(F380,Sheet2!$AA$1:$AB$975,2,FALSE),0)</f>
        <v>8</v>
      </c>
      <c r="AA380" s="64">
        <f>IFERROR(VLOOKUP(F380,Sheet2!$AC$1:$AD$975,2,FALSE),0)</f>
        <v>351.92</v>
      </c>
      <c r="AB380" s="65">
        <f>IFERROR(VLOOKUP(F380,Sheet2!$AE$2:$AF$6539,2,FALSE),0)</f>
        <v>79</v>
      </c>
      <c r="AC380" s="43">
        <f>IFERROR(VLOOKUP(F380,Sheet2!$AG$2:$AH$6539,2,FALSE),0)</f>
        <v>0.71789999999999998</v>
      </c>
      <c r="AE380" s="112">
        <v>11</v>
      </c>
      <c r="AF380" s="9">
        <v>6</v>
      </c>
      <c r="AG380" s="9">
        <v>12</v>
      </c>
      <c r="AH380" s="9">
        <v>0</v>
      </c>
      <c r="AI380" s="9">
        <v>18</v>
      </c>
      <c r="AJ380" s="9">
        <f t="shared" si="12"/>
        <v>29</v>
      </c>
      <c r="AK380" s="45">
        <f t="shared" si="13"/>
        <v>574.20000000000005</v>
      </c>
      <c r="AL380" s="68">
        <v>60</v>
      </c>
      <c r="AM380" s="68">
        <v>0</v>
      </c>
    </row>
    <row r="381" spans="1:39" x14ac:dyDescent="0.2">
      <c r="A381" s="57" t="s">
        <v>2082</v>
      </c>
      <c r="B381" s="47">
        <v>46173</v>
      </c>
      <c r="C381" s="48"/>
      <c r="D381" s="48" t="s">
        <v>1566</v>
      </c>
      <c r="E381" s="49" t="s">
        <v>774</v>
      </c>
      <c r="F381" s="49" t="s">
        <v>775</v>
      </c>
      <c r="G381" s="47" t="e">
        <v>#N/A</v>
      </c>
      <c r="H381" s="47" t="s">
        <v>94</v>
      </c>
      <c r="I381" s="40" t="s">
        <v>776</v>
      </c>
      <c r="J381" s="40" t="s">
        <v>1835</v>
      </c>
      <c r="K381" s="40" t="s">
        <v>24</v>
      </c>
      <c r="L381" s="40" t="s">
        <v>637</v>
      </c>
      <c r="M381" s="11"/>
      <c r="N381" s="11"/>
      <c r="O381" s="50">
        <v>12.96</v>
      </c>
      <c r="R381" s="9">
        <f>IFERROR(VLOOKUP(E381,Sheet6!$A$2:$B$500,2,FALSE),0)</f>
        <v>0</v>
      </c>
      <c r="S381" s="41">
        <f>IFERROR(VLOOKUP(E381,Sheet6!$C$2:$D$35017,2,FALSE),0)</f>
        <v>0</v>
      </c>
      <c r="U381" s="9">
        <f>IFERROR(VLOOKUP(E381,Sheet2!$AA$1:$AB$975,2,FALSE),0)</f>
        <v>0</v>
      </c>
      <c r="V381" s="41">
        <f>IFERROR(VLOOKUP(E381,Sheet2!$AC$1:$AD$975,2,FALSE),0)</f>
        <v>0</v>
      </c>
      <c r="W381" s="42">
        <f>IFERROR(VLOOKUP(E381,Sheet2!$AE$1:$AF$975,2,FALSE),0)</f>
        <v>0</v>
      </c>
      <c r="X381" s="43">
        <f>IFERROR(VLOOKUP(E381,Sheet2!$AG$1:$AH$975,2,FALSE),0)</f>
        <v>0</v>
      </c>
      <c r="Z381" s="60">
        <f>IFERROR(VLOOKUP(F381,Sheet2!$AA$1:$AB$975,2,FALSE),0)</f>
        <v>0</v>
      </c>
      <c r="AA381" s="64">
        <f>IFERROR(VLOOKUP(F381,Sheet2!$AC$1:$AD$975,2,FALSE),0)</f>
        <v>0</v>
      </c>
      <c r="AB381" s="65">
        <f>IFERROR(VLOOKUP(F381,Sheet2!$AE$2:$AF$6539,2,FALSE),0)</f>
        <v>0</v>
      </c>
      <c r="AC381" s="43">
        <f>IFERROR(VLOOKUP(F381,Sheet2!$AG$2:$AH$6539,2,FALSE),0)</f>
        <v>0</v>
      </c>
      <c r="AE381" s="112">
        <v>10</v>
      </c>
      <c r="AF381" s="9">
        <v>0</v>
      </c>
      <c r="AG381" s="9">
        <v>0</v>
      </c>
      <c r="AH381" s="9">
        <v>0</v>
      </c>
      <c r="AI381" s="9">
        <v>0</v>
      </c>
      <c r="AJ381" s="9">
        <f t="shared" si="12"/>
        <v>10</v>
      </c>
      <c r="AK381" s="45">
        <f t="shared" si="13"/>
        <v>129.60000000000002</v>
      </c>
      <c r="AL381" s="68">
        <v>0</v>
      </c>
      <c r="AM381" s="68">
        <v>0</v>
      </c>
    </row>
    <row r="382" spans="1:39" x14ac:dyDescent="0.2">
      <c r="A382" s="57" t="s">
        <v>2082</v>
      </c>
      <c r="B382" s="47">
        <v>46173</v>
      </c>
      <c r="C382" s="48"/>
      <c r="D382" s="48" t="s">
        <v>1567</v>
      </c>
      <c r="E382" s="49" t="s">
        <v>777</v>
      </c>
      <c r="F382" s="49" t="s">
        <v>778</v>
      </c>
      <c r="G382" s="47" t="e">
        <v>#N/A</v>
      </c>
      <c r="H382" s="47" t="s">
        <v>94</v>
      </c>
      <c r="I382" s="40" t="s">
        <v>776</v>
      </c>
      <c r="J382" s="40" t="s">
        <v>1835</v>
      </c>
      <c r="K382" s="40" t="s">
        <v>24</v>
      </c>
      <c r="L382" s="40" t="s">
        <v>644</v>
      </c>
      <c r="M382" s="11"/>
      <c r="N382" s="11"/>
      <c r="O382" s="50">
        <v>12.96</v>
      </c>
      <c r="R382" s="9">
        <f>IFERROR(VLOOKUP(E382,Sheet6!$A$2:$B$500,2,FALSE),0)</f>
        <v>1</v>
      </c>
      <c r="S382" s="41">
        <f>IFERROR(VLOOKUP(E382,Sheet6!$C$2:$D$35017,2,FALSE),0)</f>
        <v>30</v>
      </c>
      <c r="U382" s="9">
        <f>IFERROR(VLOOKUP(E382,Sheet2!$AA$1:$AB$975,2,FALSE),0)</f>
        <v>0</v>
      </c>
      <c r="V382" s="41">
        <f>IFERROR(VLOOKUP(E382,Sheet2!$AC$1:$AD$975,2,FALSE),0)</f>
        <v>0</v>
      </c>
      <c r="W382" s="42">
        <f>IFERROR(VLOOKUP(E382,Sheet2!$AE$1:$AF$975,2,FALSE),0)</f>
        <v>0</v>
      </c>
      <c r="X382" s="43">
        <f>IFERROR(VLOOKUP(E382,Sheet2!$AG$1:$AH$975,2,FALSE),0)</f>
        <v>0</v>
      </c>
      <c r="Z382" s="60">
        <f>IFERROR(VLOOKUP(F382,Sheet2!$AA$1:$AB$975,2,FALSE),0)</f>
        <v>0</v>
      </c>
      <c r="AA382" s="64">
        <f>IFERROR(VLOOKUP(F382,Sheet2!$AC$1:$AD$975,2,FALSE),0)</f>
        <v>0</v>
      </c>
      <c r="AB382" s="65">
        <f>IFERROR(VLOOKUP(F382,Sheet2!$AE$2:$AF$6539,2,FALSE),0)</f>
        <v>0</v>
      </c>
      <c r="AC382" s="43">
        <f>IFERROR(VLOOKUP(F382,Sheet2!$AG$2:$AH$6539,2,FALSE),0)</f>
        <v>0</v>
      </c>
      <c r="AE382" s="112">
        <v>3</v>
      </c>
      <c r="AF382" s="9">
        <v>0</v>
      </c>
      <c r="AG382" s="9">
        <v>12</v>
      </c>
      <c r="AH382" s="9">
        <v>0</v>
      </c>
      <c r="AI382" s="9">
        <v>12</v>
      </c>
      <c r="AJ382" s="9">
        <f t="shared" si="12"/>
        <v>15</v>
      </c>
      <c r="AK382" s="45">
        <f t="shared" si="13"/>
        <v>194.4</v>
      </c>
      <c r="AL382" s="68">
        <v>0</v>
      </c>
      <c r="AM382" s="68">
        <v>0</v>
      </c>
    </row>
    <row r="383" spans="1:39" x14ac:dyDescent="0.2">
      <c r="A383" s="57" t="s">
        <v>2082</v>
      </c>
      <c r="B383" s="47">
        <v>46173</v>
      </c>
      <c r="C383" s="48"/>
      <c r="D383" s="48" t="s">
        <v>1568</v>
      </c>
      <c r="E383" s="49" t="s">
        <v>779</v>
      </c>
      <c r="F383" s="49" t="s">
        <v>780</v>
      </c>
      <c r="G383" s="47" t="e">
        <v>#N/A</v>
      </c>
      <c r="H383" s="47" t="s">
        <v>94</v>
      </c>
      <c r="I383" s="40" t="s">
        <v>776</v>
      </c>
      <c r="J383" s="40" t="s">
        <v>1835</v>
      </c>
      <c r="K383" s="40" t="s">
        <v>195</v>
      </c>
      <c r="L383" s="40" t="s">
        <v>637</v>
      </c>
      <c r="M383" s="11"/>
      <c r="N383" s="11"/>
      <c r="O383" s="50">
        <v>12.96</v>
      </c>
      <c r="R383" s="9">
        <f>IFERROR(VLOOKUP(E383,Sheet6!$A$2:$B$500,2,FALSE),0)</f>
        <v>0</v>
      </c>
      <c r="S383" s="41">
        <f>IFERROR(VLOOKUP(E383,Sheet6!$C$2:$D$35017,2,FALSE),0)</f>
        <v>0</v>
      </c>
      <c r="U383" s="9">
        <f>IFERROR(VLOOKUP(E383,Sheet2!$AA$1:$AB$975,2,FALSE),0)</f>
        <v>0</v>
      </c>
      <c r="V383" s="41">
        <f>IFERROR(VLOOKUP(E383,Sheet2!$AC$1:$AD$975,2,FALSE),0)</f>
        <v>0</v>
      </c>
      <c r="W383" s="42">
        <f>IFERROR(VLOOKUP(E383,Sheet2!$AE$1:$AF$975,2,FALSE),0)</f>
        <v>0</v>
      </c>
      <c r="X383" s="43">
        <f>IFERROR(VLOOKUP(E383,Sheet2!$AG$1:$AH$975,2,FALSE),0)</f>
        <v>0</v>
      </c>
      <c r="Z383" s="60">
        <f>IFERROR(VLOOKUP(F383,Sheet2!$AA$1:$AB$975,2,FALSE),0)</f>
        <v>1</v>
      </c>
      <c r="AA383" s="64">
        <f>IFERROR(VLOOKUP(F383,Sheet2!$AC$1:$AD$975,2,FALSE),0)</f>
        <v>29.99</v>
      </c>
      <c r="AB383" s="65">
        <f>IFERROR(VLOOKUP(F383,Sheet2!$AE$2:$AF$6539,2,FALSE),0)</f>
        <v>59</v>
      </c>
      <c r="AC383" s="43">
        <f>IFERROR(VLOOKUP(F383,Sheet2!$AG$2:$AH$6539,2,FALSE),0)</f>
        <v>7.1400000000000005E-2</v>
      </c>
      <c r="AE383" s="112">
        <v>7</v>
      </c>
      <c r="AF383" s="9">
        <v>0</v>
      </c>
      <c r="AG383" s="9">
        <v>24</v>
      </c>
      <c r="AH383" s="9">
        <v>0</v>
      </c>
      <c r="AI383" s="9">
        <v>24</v>
      </c>
      <c r="AJ383" s="9">
        <f t="shared" si="12"/>
        <v>31</v>
      </c>
      <c r="AK383" s="45">
        <f t="shared" si="13"/>
        <v>401.76000000000005</v>
      </c>
      <c r="AL383" s="68">
        <v>0</v>
      </c>
      <c r="AM383" s="68">
        <v>0</v>
      </c>
    </row>
    <row r="384" spans="1:39" x14ac:dyDescent="0.2">
      <c r="A384" s="57" t="s">
        <v>2082</v>
      </c>
      <c r="B384" s="47">
        <v>46173</v>
      </c>
      <c r="C384" s="48"/>
      <c r="D384" s="48" t="s">
        <v>1569</v>
      </c>
      <c r="E384" s="49" t="s">
        <v>781</v>
      </c>
      <c r="F384" s="49" t="s">
        <v>782</v>
      </c>
      <c r="G384" s="47" t="e">
        <v>#N/A</v>
      </c>
      <c r="H384" s="47" t="s">
        <v>94</v>
      </c>
      <c r="I384" s="40" t="s">
        <v>776</v>
      </c>
      <c r="J384" s="40" t="s">
        <v>1835</v>
      </c>
      <c r="K384" s="40" t="s">
        <v>195</v>
      </c>
      <c r="L384" s="40" t="s">
        <v>644</v>
      </c>
      <c r="M384" s="11"/>
      <c r="N384" s="11"/>
      <c r="O384" s="50">
        <v>12.96</v>
      </c>
      <c r="R384" s="9">
        <f>IFERROR(VLOOKUP(E384,Sheet6!$A$2:$B$500,2,FALSE),0)</f>
        <v>0</v>
      </c>
      <c r="S384" s="41">
        <f>IFERROR(VLOOKUP(E384,Sheet6!$C$2:$D$35017,2,FALSE),0)</f>
        <v>0</v>
      </c>
      <c r="U384" s="9">
        <f>IFERROR(VLOOKUP(E384,Sheet2!$AA$1:$AB$975,2,FALSE),0)</f>
        <v>2</v>
      </c>
      <c r="V384" s="41">
        <f>IFERROR(VLOOKUP(E384,Sheet2!$AC$1:$AD$975,2,FALSE),0)</f>
        <v>59.98</v>
      </c>
      <c r="W384" s="42">
        <f>IFERROR(VLOOKUP(E384,Sheet2!$AE$1:$AF$975,2,FALSE),0)</f>
        <v>125</v>
      </c>
      <c r="X384" s="43">
        <f>IFERROR(VLOOKUP(E384,Sheet2!$AG$1:$AH$975,2,FALSE),0)</f>
        <v>0</v>
      </c>
      <c r="Z384" s="60">
        <f>IFERROR(VLOOKUP(F384,Sheet2!$AA$1:$AB$975,2,FALSE),0)</f>
        <v>0</v>
      </c>
      <c r="AA384" s="64">
        <f>IFERROR(VLOOKUP(F384,Sheet2!$AC$1:$AD$975,2,FALSE),0)</f>
        <v>0</v>
      </c>
      <c r="AB384" s="65">
        <f>IFERROR(VLOOKUP(F384,Sheet2!$AE$2:$AF$6539,2,FALSE),0)</f>
        <v>0</v>
      </c>
      <c r="AC384" s="43">
        <f>IFERROR(VLOOKUP(F384,Sheet2!$AG$2:$AH$6539,2,FALSE),0)</f>
        <v>0</v>
      </c>
      <c r="AE384" s="112">
        <v>10</v>
      </c>
      <c r="AF384" s="9">
        <v>0</v>
      </c>
      <c r="AG384" s="9">
        <v>0</v>
      </c>
      <c r="AH384" s="9">
        <v>0</v>
      </c>
      <c r="AI384" s="9">
        <v>0</v>
      </c>
      <c r="AJ384" s="9">
        <f t="shared" si="12"/>
        <v>10</v>
      </c>
      <c r="AK384" s="45">
        <f t="shared" si="13"/>
        <v>129.60000000000002</v>
      </c>
      <c r="AL384" s="68">
        <v>0</v>
      </c>
      <c r="AM384" s="68">
        <v>0</v>
      </c>
    </row>
    <row r="385" spans="1:39" x14ac:dyDescent="0.2">
      <c r="A385" s="57" t="s">
        <v>2082</v>
      </c>
      <c r="B385" s="47">
        <v>46173</v>
      </c>
      <c r="C385" s="48"/>
      <c r="D385" s="48" t="s">
        <v>1570</v>
      </c>
      <c r="E385" s="49" t="s">
        <v>783</v>
      </c>
      <c r="F385" s="49" t="s">
        <v>784</v>
      </c>
      <c r="G385" s="47" t="e">
        <v>#N/A</v>
      </c>
      <c r="H385" s="47" t="s">
        <v>94</v>
      </c>
      <c r="I385" s="40" t="s">
        <v>785</v>
      </c>
      <c r="J385" s="40" t="s">
        <v>1751</v>
      </c>
      <c r="K385" s="40" t="s">
        <v>24</v>
      </c>
      <c r="L385" s="40" t="s">
        <v>637</v>
      </c>
      <c r="M385" s="11"/>
      <c r="N385" s="11"/>
      <c r="O385" s="50">
        <v>12.096</v>
      </c>
      <c r="R385" s="9">
        <f>IFERROR(VLOOKUP(E385,Sheet6!$A$2:$B$500,2,FALSE),0)</f>
        <v>0</v>
      </c>
      <c r="S385" s="41">
        <f>IFERROR(VLOOKUP(E385,Sheet6!$C$2:$D$35017,2,FALSE),0)</f>
        <v>0</v>
      </c>
      <c r="U385" s="9">
        <f>IFERROR(VLOOKUP(E385,Sheet2!$AA$1:$AB$975,2,FALSE),0)</f>
        <v>0</v>
      </c>
      <c r="V385" s="41">
        <f>IFERROR(VLOOKUP(E385,Sheet2!$AC$1:$AD$975,2,FALSE),0)</f>
        <v>0</v>
      </c>
      <c r="W385" s="42">
        <f>IFERROR(VLOOKUP(E385,Sheet2!$AE$1:$AF$975,2,FALSE),0)</f>
        <v>0</v>
      </c>
      <c r="X385" s="43">
        <f>IFERROR(VLOOKUP(E385,Sheet2!$AG$1:$AH$975,2,FALSE),0)</f>
        <v>0</v>
      </c>
      <c r="Z385" s="60">
        <f>IFERROR(VLOOKUP(F385,Sheet2!$AA$1:$AB$975,2,FALSE),0)</f>
        <v>1</v>
      </c>
      <c r="AA385" s="64">
        <f>IFERROR(VLOOKUP(F385,Sheet2!$AC$1:$AD$975,2,FALSE),0)</f>
        <v>27.99</v>
      </c>
      <c r="AB385" s="65">
        <f>IFERROR(VLOOKUP(F385,Sheet2!$AE$2:$AF$6539,2,FALSE),0)</f>
        <v>59</v>
      </c>
      <c r="AC385" s="43">
        <f>IFERROR(VLOOKUP(F385,Sheet2!$AG$2:$AH$6539,2,FALSE),0)</f>
        <v>0.9143</v>
      </c>
      <c r="AE385" s="112">
        <v>10</v>
      </c>
      <c r="AF385" s="9">
        <v>19</v>
      </c>
      <c r="AG385" s="9">
        <v>0</v>
      </c>
      <c r="AH385" s="9">
        <v>0</v>
      </c>
      <c r="AI385" s="9">
        <v>19</v>
      </c>
      <c r="AJ385" s="9">
        <f t="shared" si="12"/>
        <v>29</v>
      </c>
      <c r="AK385" s="45">
        <f t="shared" si="13"/>
        <v>350.78399999999999</v>
      </c>
      <c r="AL385" s="68">
        <v>0</v>
      </c>
      <c r="AM385" s="68">
        <v>0</v>
      </c>
    </row>
    <row r="386" spans="1:39" x14ac:dyDescent="0.2">
      <c r="A386" s="57" t="s">
        <v>2082</v>
      </c>
      <c r="B386" s="47">
        <v>46173</v>
      </c>
      <c r="C386" s="48"/>
      <c r="D386" s="48" t="s">
        <v>1571</v>
      </c>
      <c r="E386" s="49" t="s">
        <v>786</v>
      </c>
      <c r="F386" s="49" t="s">
        <v>787</v>
      </c>
      <c r="G386" s="47" t="e">
        <v>#N/A</v>
      </c>
      <c r="H386" s="47" t="s">
        <v>94</v>
      </c>
      <c r="I386" s="40" t="s">
        <v>785</v>
      </c>
      <c r="J386" s="40" t="s">
        <v>1751</v>
      </c>
      <c r="K386" s="40" t="s">
        <v>24</v>
      </c>
      <c r="L386" s="40" t="s">
        <v>644</v>
      </c>
      <c r="M386" s="11"/>
      <c r="N386" s="11"/>
      <c r="O386" s="50">
        <v>12.096</v>
      </c>
      <c r="R386" s="9">
        <f>IFERROR(VLOOKUP(E386,Sheet6!$A$2:$B$500,2,FALSE),0)</f>
        <v>0</v>
      </c>
      <c r="S386" s="41">
        <f>IFERROR(VLOOKUP(E386,Sheet6!$C$2:$D$35017,2,FALSE),0)</f>
        <v>0</v>
      </c>
      <c r="U386" s="9">
        <f>IFERROR(VLOOKUP(E386,Sheet2!$AA$1:$AB$975,2,FALSE),0)</f>
        <v>0</v>
      </c>
      <c r="V386" s="41">
        <f>IFERROR(VLOOKUP(E386,Sheet2!$AC$1:$AD$975,2,FALSE),0)</f>
        <v>0</v>
      </c>
      <c r="W386" s="42">
        <f>IFERROR(VLOOKUP(E386,Sheet2!$AE$1:$AF$975,2,FALSE),0)</f>
        <v>0</v>
      </c>
      <c r="X386" s="43">
        <f>IFERROR(VLOOKUP(E386,Sheet2!$AG$1:$AH$975,2,FALSE),0)</f>
        <v>0</v>
      </c>
      <c r="Z386" s="60">
        <f>IFERROR(VLOOKUP(F386,Sheet2!$AA$1:$AB$975,2,FALSE),0)</f>
        <v>1</v>
      </c>
      <c r="AA386" s="64">
        <f>IFERROR(VLOOKUP(F386,Sheet2!$AC$1:$AD$975,2,FALSE),0)</f>
        <v>27.99</v>
      </c>
      <c r="AB386" s="65">
        <f>IFERROR(VLOOKUP(F386,Sheet2!$AE$2:$AF$6539,2,FALSE),0)</f>
        <v>52</v>
      </c>
      <c r="AC386" s="43">
        <f>IFERROR(VLOOKUP(F386,Sheet2!$AG$2:$AH$6539,2,FALSE),0)</f>
        <v>6.25E-2</v>
      </c>
      <c r="AE386" s="112">
        <v>1</v>
      </c>
      <c r="AF386" s="9">
        <v>0</v>
      </c>
      <c r="AG386" s="9">
        <v>0</v>
      </c>
      <c r="AH386" s="9">
        <v>0</v>
      </c>
      <c r="AI386" s="9">
        <v>0</v>
      </c>
      <c r="AJ386" s="9">
        <f t="shared" si="12"/>
        <v>1</v>
      </c>
      <c r="AK386" s="45">
        <f t="shared" si="13"/>
        <v>12.096</v>
      </c>
      <c r="AL386" s="68">
        <v>0</v>
      </c>
      <c r="AM386" s="68">
        <v>0</v>
      </c>
    </row>
    <row r="387" spans="1:39" x14ac:dyDescent="0.2">
      <c r="A387" s="57" t="s">
        <v>2082</v>
      </c>
      <c r="B387" s="47">
        <v>46173</v>
      </c>
      <c r="C387" s="48"/>
      <c r="D387" s="48" t="s">
        <v>1572</v>
      </c>
      <c r="E387" s="49" t="s">
        <v>788</v>
      </c>
      <c r="F387" s="49" t="s">
        <v>789</v>
      </c>
      <c r="G387" s="47" t="e">
        <v>#N/A</v>
      </c>
      <c r="H387" s="47" t="s">
        <v>94</v>
      </c>
      <c r="I387" s="40" t="s">
        <v>785</v>
      </c>
      <c r="J387" s="40" t="s">
        <v>1751</v>
      </c>
      <c r="K387" s="40" t="s">
        <v>195</v>
      </c>
      <c r="L387" s="40" t="s">
        <v>637</v>
      </c>
      <c r="M387" s="11"/>
      <c r="N387" s="11"/>
      <c r="O387" s="50">
        <v>12.096</v>
      </c>
      <c r="R387" s="9">
        <f>IFERROR(VLOOKUP(E387,Sheet6!$A$2:$B$500,2,FALSE),0)</f>
        <v>0</v>
      </c>
      <c r="S387" s="41">
        <f>IFERROR(VLOOKUP(E387,Sheet6!$C$2:$D$35017,2,FALSE),0)</f>
        <v>0</v>
      </c>
      <c r="U387" s="9">
        <f>IFERROR(VLOOKUP(E387,Sheet2!$AA$1:$AB$975,2,FALSE),0)</f>
        <v>0</v>
      </c>
      <c r="V387" s="41">
        <f>IFERROR(VLOOKUP(E387,Sheet2!$AC$1:$AD$975,2,FALSE),0)</f>
        <v>0</v>
      </c>
      <c r="W387" s="42">
        <f>IFERROR(VLOOKUP(E387,Sheet2!$AE$1:$AF$975,2,FALSE),0)</f>
        <v>0</v>
      </c>
      <c r="X387" s="43">
        <f>IFERROR(VLOOKUP(E387,Sheet2!$AG$1:$AH$975,2,FALSE),0)</f>
        <v>0</v>
      </c>
      <c r="Z387" s="60">
        <f>IFERROR(VLOOKUP(F387,Sheet2!$AA$1:$AB$975,2,FALSE),0)</f>
        <v>0</v>
      </c>
      <c r="AA387" s="64">
        <f>IFERROR(VLOOKUP(F387,Sheet2!$AC$1:$AD$975,2,FALSE),0)</f>
        <v>0</v>
      </c>
      <c r="AB387" s="65">
        <f>IFERROR(VLOOKUP(F387,Sheet2!$AE$2:$AF$6539,2,FALSE),0)</f>
        <v>0</v>
      </c>
      <c r="AC387" s="43">
        <f>IFERROR(VLOOKUP(F387,Sheet2!$AG$2:$AH$6539,2,FALSE),0)</f>
        <v>0</v>
      </c>
      <c r="AE387" s="112">
        <v>17</v>
      </c>
      <c r="AF387" s="9">
        <v>0</v>
      </c>
      <c r="AG387" s="9">
        <v>0</v>
      </c>
      <c r="AH387" s="9">
        <v>0</v>
      </c>
      <c r="AI387" s="9">
        <v>0</v>
      </c>
      <c r="AJ387" s="9">
        <f t="shared" si="12"/>
        <v>17</v>
      </c>
      <c r="AK387" s="45">
        <f t="shared" si="13"/>
        <v>205.63200000000001</v>
      </c>
      <c r="AL387" s="68">
        <v>0</v>
      </c>
      <c r="AM387" s="68">
        <v>0</v>
      </c>
    </row>
    <row r="388" spans="1:39" x14ac:dyDescent="0.2">
      <c r="A388" s="57" t="s">
        <v>2082</v>
      </c>
      <c r="B388" s="47">
        <v>46173</v>
      </c>
      <c r="C388" s="48"/>
      <c r="D388" s="48" t="s">
        <v>1573</v>
      </c>
      <c r="E388" s="49" t="s">
        <v>790</v>
      </c>
      <c r="F388" s="49" t="s">
        <v>791</v>
      </c>
      <c r="G388" s="47" t="e">
        <v>#N/A</v>
      </c>
      <c r="H388" s="47" t="s">
        <v>94</v>
      </c>
      <c r="I388" s="40" t="s">
        <v>785</v>
      </c>
      <c r="J388" s="40" t="s">
        <v>1751</v>
      </c>
      <c r="K388" s="40" t="s">
        <v>195</v>
      </c>
      <c r="L388" s="40" t="s">
        <v>644</v>
      </c>
      <c r="M388" s="11"/>
      <c r="N388" s="11"/>
      <c r="O388" s="50">
        <v>12.096</v>
      </c>
      <c r="R388" s="9">
        <f>IFERROR(VLOOKUP(E388,Sheet6!$A$2:$B$500,2,FALSE),0)</f>
        <v>1</v>
      </c>
      <c r="S388" s="41">
        <f>IFERROR(VLOOKUP(E388,Sheet6!$C$2:$D$35017,2,FALSE),0)</f>
        <v>28</v>
      </c>
      <c r="U388" s="9">
        <f>IFERROR(VLOOKUP(E388,Sheet2!$AA$1:$AB$975,2,FALSE),0)</f>
        <v>0</v>
      </c>
      <c r="V388" s="41">
        <f>IFERROR(VLOOKUP(E388,Sheet2!$AC$1:$AD$975,2,FALSE),0)</f>
        <v>0</v>
      </c>
      <c r="W388" s="42">
        <f>IFERROR(VLOOKUP(E388,Sheet2!$AE$1:$AF$975,2,FALSE),0)</f>
        <v>0</v>
      </c>
      <c r="X388" s="43">
        <f>IFERROR(VLOOKUP(E388,Sheet2!$AG$1:$AH$975,2,FALSE),0)</f>
        <v>0</v>
      </c>
      <c r="Z388" s="60">
        <f>IFERROR(VLOOKUP(F388,Sheet2!$AA$1:$AB$975,2,FALSE),0)</f>
        <v>0</v>
      </c>
      <c r="AA388" s="64">
        <f>IFERROR(VLOOKUP(F388,Sheet2!$AC$1:$AD$975,2,FALSE),0)</f>
        <v>0</v>
      </c>
      <c r="AB388" s="65">
        <f>IFERROR(VLOOKUP(F388,Sheet2!$AE$2:$AF$6539,2,FALSE),0)</f>
        <v>0</v>
      </c>
      <c r="AC388" s="43">
        <f>IFERROR(VLOOKUP(F388,Sheet2!$AG$2:$AH$6539,2,FALSE),0)</f>
        <v>0</v>
      </c>
      <c r="AE388" s="112">
        <v>11</v>
      </c>
      <c r="AF388" s="9">
        <v>0</v>
      </c>
      <c r="AG388" s="9">
        <v>0</v>
      </c>
      <c r="AH388" s="9">
        <v>0</v>
      </c>
      <c r="AI388" s="9">
        <v>0</v>
      </c>
      <c r="AJ388" s="9">
        <f t="shared" si="12"/>
        <v>11</v>
      </c>
      <c r="AK388" s="45">
        <f t="shared" si="13"/>
        <v>133.05600000000001</v>
      </c>
      <c r="AL388" s="68">
        <v>6</v>
      </c>
      <c r="AM388" s="68">
        <v>0</v>
      </c>
    </row>
    <row r="389" spans="1:39" x14ac:dyDescent="0.2">
      <c r="A389" s="57" t="s">
        <v>2082</v>
      </c>
      <c r="B389" s="47">
        <v>46173</v>
      </c>
      <c r="C389" s="108"/>
      <c r="D389" s="48" t="s">
        <v>1574</v>
      </c>
      <c r="E389" s="49" t="s">
        <v>792</v>
      </c>
      <c r="F389" s="49" t="s">
        <v>793</v>
      </c>
      <c r="G389" s="47" t="e">
        <v>#N/A</v>
      </c>
      <c r="H389" s="47" t="s">
        <v>94</v>
      </c>
      <c r="I389" s="40" t="s">
        <v>794</v>
      </c>
      <c r="J389" s="40" t="s">
        <v>1728</v>
      </c>
      <c r="K389" s="40" t="s">
        <v>24</v>
      </c>
      <c r="L389" s="40" t="s">
        <v>637</v>
      </c>
      <c r="M389" s="11"/>
      <c r="N389" s="11"/>
      <c r="O389" s="50">
        <v>13.824</v>
      </c>
      <c r="R389" s="9">
        <f>IFERROR(VLOOKUP(E389,Sheet6!$A$2:$B$500,2,FALSE),0)</f>
        <v>0</v>
      </c>
      <c r="S389" s="41">
        <f>IFERROR(VLOOKUP(E389,Sheet6!$C$2:$D$35017,2,FALSE),0)</f>
        <v>0</v>
      </c>
      <c r="U389" s="9">
        <f>IFERROR(VLOOKUP(E389,Sheet2!$AA$1:$AB$975,2,FALSE),0)</f>
        <v>0</v>
      </c>
      <c r="V389" s="41">
        <f>IFERROR(VLOOKUP(E389,Sheet2!$AC$1:$AD$975,2,FALSE),0)</f>
        <v>0</v>
      </c>
      <c r="W389" s="42">
        <f>IFERROR(VLOOKUP(E389,Sheet2!$AE$1:$AF$975,2,FALSE),0)</f>
        <v>0</v>
      </c>
      <c r="X389" s="43">
        <f>IFERROR(VLOOKUP(E389,Sheet2!$AG$1:$AH$975,2,FALSE),0)</f>
        <v>0</v>
      </c>
      <c r="Z389" s="60">
        <f>IFERROR(VLOOKUP(F389,Sheet2!$AA$1:$AB$975,2,FALSE),0)</f>
        <v>0</v>
      </c>
      <c r="AA389" s="64">
        <f>IFERROR(VLOOKUP(F389,Sheet2!$AC$1:$AD$975,2,FALSE),0)</f>
        <v>0</v>
      </c>
      <c r="AB389" s="65">
        <f>IFERROR(VLOOKUP(F389,Sheet2!$AE$2:$AF$6539,2,FALSE),0)</f>
        <v>0</v>
      </c>
      <c r="AC389" s="43">
        <f>IFERROR(VLOOKUP(F389,Sheet2!$AG$2:$AH$6539,2,FALSE),0)</f>
        <v>0</v>
      </c>
      <c r="AE389" s="112">
        <v>3</v>
      </c>
      <c r="AF389" s="9">
        <v>0</v>
      </c>
      <c r="AG389" s="9">
        <v>0</v>
      </c>
      <c r="AH389" s="9">
        <v>0</v>
      </c>
      <c r="AI389" s="9">
        <v>0</v>
      </c>
      <c r="AJ389" s="9">
        <f t="shared" ref="AJ389:AJ442" si="14">SUM(AE389+AI389)</f>
        <v>3</v>
      </c>
      <c r="AK389" s="45">
        <f t="shared" ref="AK389:AK442" si="15">SUM(AJ389*O389)</f>
        <v>41.472000000000001</v>
      </c>
      <c r="AL389" s="68">
        <v>0</v>
      </c>
      <c r="AM389" s="68">
        <v>0</v>
      </c>
    </row>
    <row r="390" spans="1:39" x14ac:dyDescent="0.2">
      <c r="A390" s="57" t="s">
        <v>2082</v>
      </c>
      <c r="B390" s="47">
        <v>46173</v>
      </c>
      <c r="C390" s="48"/>
      <c r="D390" s="48" t="s">
        <v>1575</v>
      </c>
      <c r="E390" s="49" t="s">
        <v>795</v>
      </c>
      <c r="F390" s="49" t="s">
        <v>796</v>
      </c>
      <c r="G390" s="47" t="e">
        <v>#N/A</v>
      </c>
      <c r="H390" s="47" t="s">
        <v>94</v>
      </c>
      <c r="I390" s="40" t="s">
        <v>794</v>
      </c>
      <c r="J390" s="40" t="s">
        <v>1728</v>
      </c>
      <c r="K390" s="40" t="s">
        <v>24</v>
      </c>
      <c r="L390" s="40" t="s">
        <v>644</v>
      </c>
      <c r="M390" s="11"/>
      <c r="N390" s="11"/>
      <c r="O390" s="50">
        <v>13.824</v>
      </c>
      <c r="R390" s="9">
        <f>IFERROR(VLOOKUP(E390,Sheet6!$A$2:$B$500,2,FALSE),0)</f>
        <v>1</v>
      </c>
      <c r="S390" s="41">
        <f>IFERROR(VLOOKUP(E390,Sheet6!$C$2:$D$35017,2,FALSE),0)</f>
        <v>32</v>
      </c>
      <c r="U390" s="9">
        <f>IFERROR(VLOOKUP(E390,Sheet2!$AA$1:$AB$975,2,FALSE),0)</f>
        <v>0</v>
      </c>
      <c r="V390" s="41">
        <f>IFERROR(VLOOKUP(E390,Sheet2!$AC$1:$AD$975,2,FALSE),0)</f>
        <v>0</v>
      </c>
      <c r="W390" s="42">
        <f>IFERROR(VLOOKUP(E390,Sheet2!$AE$1:$AF$975,2,FALSE),0)</f>
        <v>0</v>
      </c>
      <c r="X390" s="43">
        <f>IFERROR(VLOOKUP(E390,Sheet2!$AG$1:$AH$975,2,FALSE),0)</f>
        <v>0</v>
      </c>
      <c r="Z390" s="60">
        <f>IFERROR(VLOOKUP(F390,Sheet2!$AA$1:$AB$975,2,FALSE),0)</f>
        <v>16</v>
      </c>
      <c r="AA390" s="64">
        <f>IFERROR(VLOOKUP(F390,Sheet2!$AC$1:$AD$975,2,FALSE),0)</f>
        <v>511.84</v>
      </c>
      <c r="AB390" s="65">
        <f>IFERROR(VLOOKUP(F390,Sheet2!$AE$2:$AF$6539,2,FALSE),0)</f>
        <v>47</v>
      </c>
      <c r="AC390" s="43">
        <f>IFERROR(VLOOKUP(F390,Sheet2!$AG$2:$AH$6539,2,FALSE),0)</f>
        <v>1</v>
      </c>
      <c r="AE390" s="112">
        <v>2</v>
      </c>
      <c r="AF390" s="9">
        <v>7</v>
      </c>
      <c r="AG390" s="9">
        <v>0</v>
      </c>
      <c r="AH390" s="9">
        <v>0</v>
      </c>
      <c r="AI390" s="9">
        <v>7</v>
      </c>
      <c r="AJ390" s="9">
        <f t="shared" si="14"/>
        <v>9</v>
      </c>
      <c r="AK390" s="45">
        <f t="shared" si="15"/>
        <v>124.416</v>
      </c>
      <c r="AL390" s="68">
        <v>24</v>
      </c>
      <c r="AM390" s="68">
        <v>0</v>
      </c>
    </row>
    <row r="391" spans="1:39" x14ac:dyDescent="0.2">
      <c r="A391" s="57" t="s">
        <v>2082</v>
      </c>
      <c r="B391" s="47">
        <v>46173</v>
      </c>
      <c r="C391" s="48"/>
      <c r="D391" s="48" t="s">
        <v>1576</v>
      </c>
      <c r="E391" s="49" t="s">
        <v>797</v>
      </c>
      <c r="F391" s="49" t="s">
        <v>798</v>
      </c>
      <c r="G391" s="47" t="e">
        <v>#N/A</v>
      </c>
      <c r="H391" s="47" t="s">
        <v>94</v>
      </c>
      <c r="I391" s="40" t="s">
        <v>794</v>
      </c>
      <c r="J391" s="40" t="s">
        <v>1728</v>
      </c>
      <c r="K391" s="40" t="s">
        <v>24</v>
      </c>
      <c r="L391" s="40" t="s">
        <v>656</v>
      </c>
      <c r="M391" s="11"/>
      <c r="N391" s="11"/>
      <c r="O391" s="50">
        <v>13.824</v>
      </c>
      <c r="R391" s="9">
        <f>IFERROR(VLOOKUP(E391,Sheet6!$A$2:$B$500,2,FALSE),0)</f>
        <v>0</v>
      </c>
      <c r="S391" s="41">
        <f>IFERROR(VLOOKUP(E391,Sheet6!$C$2:$D$35017,2,FALSE),0)</f>
        <v>0</v>
      </c>
      <c r="U391" s="9">
        <f>IFERROR(VLOOKUP(E391,Sheet2!$AA$1:$AB$975,2,FALSE),0)</f>
        <v>0</v>
      </c>
      <c r="V391" s="41">
        <f>IFERROR(VLOOKUP(E391,Sheet2!$AC$1:$AD$975,2,FALSE),0)</f>
        <v>0</v>
      </c>
      <c r="W391" s="42">
        <f>IFERROR(VLOOKUP(E391,Sheet2!$AE$1:$AF$975,2,FALSE),0)</f>
        <v>0</v>
      </c>
      <c r="X391" s="43">
        <f>IFERROR(VLOOKUP(E391,Sheet2!$AG$1:$AH$975,2,FALSE),0)</f>
        <v>0</v>
      </c>
      <c r="Z391" s="60">
        <f>IFERROR(VLOOKUP(F391,Sheet2!$AA$1:$AB$975,2,FALSE),0)</f>
        <v>12</v>
      </c>
      <c r="AA391" s="64">
        <f>IFERROR(VLOOKUP(F391,Sheet2!$AC$1:$AD$975,2,FALSE),0)</f>
        <v>383.88</v>
      </c>
      <c r="AB391" s="65">
        <f>IFERROR(VLOOKUP(F391,Sheet2!$AE$2:$AF$6539,2,FALSE),0)</f>
        <v>44</v>
      </c>
      <c r="AC391" s="43">
        <f>IFERROR(VLOOKUP(F391,Sheet2!$AG$2:$AH$6539,2,FALSE),0)</f>
        <v>0.9</v>
      </c>
      <c r="AE391" s="112">
        <v>9</v>
      </c>
      <c r="AF391" s="9">
        <v>1</v>
      </c>
      <c r="AG391" s="9">
        <v>0</v>
      </c>
      <c r="AH391" s="9">
        <v>0</v>
      </c>
      <c r="AI391" s="9">
        <v>1</v>
      </c>
      <c r="AJ391" s="9">
        <f t="shared" si="14"/>
        <v>10</v>
      </c>
      <c r="AK391" s="45">
        <f t="shared" si="15"/>
        <v>138.24</v>
      </c>
      <c r="AL391" s="68">
        <v>24</v>
      </c>
      <c r="AM391" s="68">
        <v>0</v>
      </c>
    </row>
    <row r="392" spans="1:39" x14ac:dyDescent="0.2">
      <c r="A392" s="57" t="s">
        <v>2082</v>
      </c>
      <c r="B392" s="47">
        <v>46173</v>
      </c>
      <c r="C392" s="108"/>
      <c r="D392" s="48" t="s">
        <v>1577</v>
      </c>
      <c r="E392" s="49" t="s">
        <v>799</v>
      </c>
      <c r="F392" s="49" t="s">
        <v>800</v>
      </c>
      <c r="G392" s="47" t="e">
        <v>#N/A</v>
      </c>
      <c r="H392" s="47" t="s">
        <v>94</v>
      </c>
      <c r="I392" s="40" t="s">
        <v>794</v>
      </c>
      <c r="J392" s="40" t="s">
        <v>1728</v>
      </c>
      <c r="K392" s="40" t="s">
        <v>41</v>
      </c>
      <c r="L392" s="40" t="s">
        <v>637</v>
      </c>
      <c r="M392" s="11"/>
      <c r="N392" s="11"/>
      <c r="O392" s="50">
        <v>13.824</v>
      </c>
      <c r="R392" s="9">
        <f>IFERROR(VLOOKUP(E392,Sheet6!$A$2:$B$500,2,FALSE),0)</f>
        <v>0</v>
      </c>
      <c r="S392" s="41">
        <f>IFERROR(VLOOKUP(E392,Sheet6!$C$2:$D$35017,2,FALSE),0)</f>
        <v>0</v>
      </c>
      <c r="U392" s="9">
        <f>IFERROR(VLOOKUP(E392,Sheet2!$AA$1:$AB$975,2,FALSE),0)</f>
        <v>0</v>
      </c>
      <c r="V392" s="41">
        <f>IFERROR(VLOOKUP(E392,Sheet2!$AC$1:$AD$975,2,FALSE),0)</f>
        <v>0</v>
      </c>
      <c r="W392" s="42">
        <f>IFERROR(VLOOKUP(E392,Sheet2!$AE$1:$AF$975,2,FALSE),0)</f>
        <v>0</v>
      </c>
      <c r="X392" s="43">
        <f>IFERROR(VLOOKUP(E392,Sheet2!$AG$1:$AH$975,2,FALSE),0)</f>
        <v>0</v>
      </c>
      <c r="Z392" s="60">
        <f>IFERROR(VLOOKUP(F392,Sheet2!$AA$1:$AB$975,2,FALSE),0)</f>
        <v>0</v>
      </c>
      <c r="AA392" s="64">
        <f>IFERROR(VLOOKUP(F392,Sheet2!$AC$1:$AD$975,2,FALSE),0)</f>
        <v>0</v>
      </c>
      <c r="AB392" s="65">
        <f>IFERROR(VLOOKUP(F392,Sheet2!$AE$2:$AF$6539,2,FALSE),0)</f>
        <v>0</v>
      </c>
      <c r="AC392" s="43">
        <f>IFERROR(VLOOKUP(F392,Sheet2!$AG$2:$AH$6539,2,FALSE),0)</f>
        <v>0</v>
      </c>
      <c r="AE392" s="112">
        <v>5</v>
      </c>
      <c r="AF392" s="9">
        <v>0</v>
      </c>
      <c r="AG392" s="9">
        <v>0</v>
      </c>
      <c r="AH392" s="9">
        <v>0</v>
      </c>
      <c r="AI392" s="9">
        <v>0</v>
      </c>
      <c r="AJ392" s="9">
        <f t="shared" si="14"/>
        <v>5</v>
      </c>
      <c r="AK392" s="45">
        <f t="shared" si="15"/>
        <v>69.12</v>
      </c>
      <c r="AL392" s="68">
        <v>0</v>
      </c>
      <c r="AM392" s="68">
        <v>0</v>
      </c>
    </row>
    <row r="393" spans="1:39" x14ac:dyDescent="0.2">
      <c r="A393" s="57" t="s">
        <v>2082</v>
      </c>
      <c r="B393" s="47">
        <v>46173</v>
      </c>
      <c r="C393" s="48"/>
      <c r="D393" s="48" t="s">
        <v>1578</v>
      </c>
      <c r="E393" s="49" t="s">
        <v>801</v>
      </c>
      <c r="F393" s="49" t="s">
        <v>802</v>
      </c>
      <c r="G393" s="47" t="e">
        <v>#N/A</v>
      </c>
      <c r="H393" s="47" t="s">
        <v>94</v>
      </c>
      <c r="I393" s="40" t="s">
        <v>794</v>
      </c>
      <c r="J393" s="40" t="s">
        <v>1728</v>
      </c>
      <c r="K393" s="40" t="s">
        <v>41</v>
      </c>
      <c r="L393" s="40" t="s">
        <v>644</v>
      </c>
      <c r="M393" s="11"/>
      <c r="N393" s="11"/>
      <c r="O393" s="50">
        <v>13.824</v>
      </c>
      <c r="R393" s="9">
        <f>IFERROR(VLOOKUP(E393,Sheet6!$A$2:$B$500,2,FALSE),0)</f>
        <v>0</v>
      </c>
      <c r="S393" s="41">
        <f>IFERROR(VLOOKUP(E393,Sheet6!$C$2:$D$35017,2,FALSE),0)</f>
        <v>0</v>
      </c>
      <c r="U393" s="9">
        <f>IFERROR(VLOOKUP(E393,Sheet2!$AA$1:$AB$975,2,FALSE),0)</f>
        <v>0</v>
      </c>
      <c r="V393" s="41">
        <f>IFERROR(VLOOKUP(E393,Sheet2!$AC$1:$AD$975,2,FALSE),0)</f>
        <v>0</v>
      </c>
      <c r="W393" s="42">
        <f>IFERROR(VLOOKUP(E393,Sheet2!$AE$1:$AF$975,2,FALSE),0)</f>
        <v>0</v>
      </c>
      <c r="X393" s="43">
        <f>IFERROR(VLOOKUP(E393,Sheet2!$AG$1:$AH$975,2,FALSE),0)</f>
        <v>0</v>
      </c>
      <c r="Z393" s="60">
        <f>IFERROR(VLOOKUP(F393,Sheet2!$AA$1:$AB$975,2,FALSE),0)</f>
        <v>5</v>
      </c>
      <c r="AA393" s="64">
        <f>IFERROR(VLOOKUP(F393,Sheet2!$AC$1:$AD$975,2,FALSE),0)</f>
        <v>159.94999999999999</v>
      </c>
      <c r="AB393" s="65">
        <f>IFERROR(VLOOKUP(F393,Sheet2!$AE$2:$AF$6539,2,FALSE),0)</f>
        <v>58</v>
      </c>
      <c r="AC393" s="43">
        <f>IFERROR(VLOOKUP(F393,Sheet2!$AG$2:$AH$6539,2,FALSE),0)</f>
        <v>0.40539999999999998</v>
      </c>
      <c r="AE393" s="112">
        <v>11</v>
      </c>
      <c r="AF393" s="9">
        <v>29</v>
      </c>
      <c r="AG393" s="9">
        <v>0</v>
      </c>
      <c r="AH393" s="9">
        <v>0</v>
      </c>
      <c r="AI393" s="9">
        <v>29</v>
      </c>
      <c r="AJ393" s="9">
        <f t="shared" si="14"/>
        <v>40</v>
      </c>
      <c r="AK393" s="45">
        <f t="shared" si="15"/>
        <v>552.96</v>
      </c>
      <c r="AL393" s="68">
        <v>0</v>
      </c>
      <c r="AM393" s="68">
        <v>0</v>
      </c>
    </row>
    <row r="394" spans="1:39" x14ac:dyDescent="0.2">
      <c r="A394" s="57" t="s">
        <v>2082</v>
      </c>
      <c r="B394" s="47">
        <v>46173</v>
      </c>
      <c r="C394" s="48"/>
      <c r="D394" s="48" t="s">
        <v>1579</v>
      </c>
      <c r="E394" s="49" t="s">
        <v>803</v>
      </c>
      <c r="F394" s="49" t="s">
        <v>804</v>
      </c>
      <c r="G394" s="47" t="e">
        <v>#N/A</v>
      </c>
      <c r="H394" s="47" t="s">
        <v>94</v>
      </c>
      <c r="I394" s="40" t="s">
        <v>794</v>
      </c>
      <c r="J394" s="40" t="s">
        <v>1728</v>
      </c>
      <c r="K394" s="40" t="s">
        <v>41</v>
      </c>
      <c r="L394" s="40" t="s">
        <v>656</v>
      </c>
      <c r="M394" s="11"/>
      <c r="N394" s="11"/>
      <c r="O394" s="50">
        <v>13.824</v>
      </c>
      <c r="R394" s="9">
        <f>IFERROR(VLOOKUP(E394,Sheet6!$A$2:$B$500,2,FALSE),0)</f>
        <v>0</v>
      </c>
      <c r="S394" s="41">
        <f>IFERROR(VLOOKUP(E394,Sheet6!$C$2:$D$35017,2,FALSE),0)</f>
        <v>0</v>
      </c>
      <c r="U394" s="9">
        <f>IFERROR(VLOOKUP(E394,Sheet2!$AA$1:$AB$975,2,FALSE),0)</f>
        <v>0</v>
      </c>
      <c r="V394" s="41">
        <f>IFERROR(VLOOKUP(E394,Sheet2!$AC$1:$AD$975,2,FALSE),0)</f>
        <v>0</v>
      </c>
      <c r="W394" s="42">
        <f>IFERROR(VLOOKUP(E394,Sheet2!$AE$1:$AF$975,2,FALSE),0)</f>
        <v>0</v>
      </c>
      <c r="X394" s="43">
        <f>IFERROR(VLOOKUP(E394,Sheet2!$AG$1:$AH$975,2,FALSE),0)</f>
        <v>0</v>
      </c>
      <c r="Z394" s="60">
        <f>IFERROR(VLOOKUP(F394,Sheet2!$AA$1:$AB$975,2,FALSE),0)</f>
        <v>8</v>
      </c>
      <c r="AA394" s="64">
        <f>IFERROR(VLOOKUP(F394,Sheet2!$AC$1:$AD$975,2,FALSE),0)</f>
        <v>255.92</v>
      </c>
      <c r="AB394" s="65">
        <f>IFERROR(VLOOKUP(F394,Sheet2!$AE$2:$AF$6539,2,FALSE),0)</f>
        <v>34</v>
      </c>
      <c r="AC394" s="43">
        <f>IFERROR(VLOOKUP(F394,Sheet2!$AG$2:$AH$6539,2,FALSE),0)</f>
        <v>1</v>
      </c>
      <c r="AE394" s="112">
        <v>6</v>
      </c>
      <c r="AF394" s="9">
        <v>10</v>
      </c>
      <c r="AG394" s="9">
        <v>0</v>
      </c>
      <c r="AH394" s="9">
        <v>0</v>
      </c>
      <c r="AI394" s="9">
        <v>10</v>
      </c>
      <c r="AJ394" s="9">
        <f t="shared" si="14"/>
        <v>16</v>
      </c>
      <c r="AK394" s="45">
        <f t="shared" si="15"/>
        <v>221.184</v>
      </c>
      <c r="AL394" s="68">
        <v>6</v>
      </c>
      <c r="AM394" s="68">
        <v>0</v>
      </c>
    </row>
    <row r="395" spans="1:39" x14ac:dyDescent="0.2">
      <c r="A395" s="57" t="s">
        <v>2082</v>
      </c>
      <c r="B395" s="47">
        <v>46173</v>
      </c>
      <c r="C395" s="48"/>
      <c r="D395" s="48" t="s">
        <v>1580</v>
      </c>
      <c r="E395" s="49" t="s">
        <v>805</v>
      </c>
      <c r="F395" s="49" t="s">
        <v>806</v>
      </c>
      <c r="G395" s="47" t="e">
        <v>#N/A</v>
      </c>
      <c r="H395" s="47" t="s">
        <v>94</v>
      </c>
      <c r="I395" s="40" t="s">
        <v>807</v>
      </c>
      <c r="J395" s="40" t="s">
        <v>1762</v>
      </c>
      <c r="K395" s="40" t="s">
        <v>24</v>
      </c>
      <c r="L395" s="40" t="s">
        <v>637</v>
      </c>
      <c r="M395" s="11"/>
      <c r="N395" s="11"/>
      <c r="O395" s="50">
        <v>12.96</v>
      </c>
      <c r="R395" s="9">
        <f>IFERROR(VLOOKUP(E395,Sheet6!$A$2:$B$500,2,FALSE),0)</f>
        <v>0</v>
      </c>
      <c r="S395" s="41">
        <f>IFERROR(VLOOKUP(E395,Sheet6!$C$2:$D$35017,2,FALSE),0)</f>
        <v>0</v>
      </c>
      <c r="U395" s="9">
        <f>IFERROR(VLOOKUP(E395,Sheet2!$AA$1:$AB$975,2,FALSE),0)</f>
        <v>0</v>
      </c>
      <c r="V395" s="41">
        <f>IFERROR(VLOOKUP(E395,Sheet2!$AC$1:$AD$975,2,FALSE),0)</f>
        <v>0</v>
      </c>
      <c r="W395" s="42">
        <f>IFERROR(VLOOKUP(E395,Sheet2!$AE$1:$AF$975,2,FALSE),0)</f>
        <v>0</v>
      </c>
      <c r="X395" s="43">
        <f>IFERROR(VLOOKUP(E395,Sheet2!$AG$1:$AH$975,2,FALSE),0)</f>
        <v>0</v>
      </c>
      <c r="Z395" s="60">
        <f>IFERROR(VLOOKUP(F395,Sheet2!$AA$1:$AB$975,2,FALSE),0)</f>
        <v>5</v>
      </c>
      <c r="AA395" s="64">
        <f>IFERROR(VLOOKUP(F395,Sheet2!$AC$1:$AD$975,2,FALSE),0)</f>
        <v>149.94999999999999</v>
      </c>
      <c r="AB395" s="65">
        <f>IFERROR(VLOOKUP(F395,Sheet2!$AE$2:$AF$6539,2,FALSE),0)</f>
        <v>38</v>
      </c>
      <c r="AC395" s="43">
        <f>IFERROR(VLOOKUP(F395,Sheet2!$AG$2:$AH$6539,2,FALSE),0)</f>
        <v>1</v>
      </c>
      <c r="AE395" s="112">
        <v>1</v>
      </c>
      <c r="AF395" s="9">
        <v>10</v>
      </c>
      <c r="AG395" s="9">
        <v>0</v>
      </c>
      <c r="AH395" s="9">
        <v>0</v>
      </c>
      <c r="AI395" s="9">
        <v>10</v>
      </c>
      <c r="AJ395" s="9">
        <f t="shared" si="14"/>
        <v>11</v>
      </c>
      <c r="AK395" s="45">
        <f t="shared" si="15"/>
        <v>142.56</v>
      </c>
      <c r="AL395" s="68">
        <v>0</v>
      </c>
      <c r="AM395" s="68">
        <v>0</v>
      </c>
    </row>
    <row r="396" spans="1:39" x14ac:dyDescent="0.2">
      <c r="A396" s="57" t="s">
        <v>2082</v>
      </c>
      <c r="B396" s="47">
        <v>46173</v>
      </c>
      <c r="C396" s="48"/>
      <c r="D396" s="48" t="s">
        <v>1581</v>
      </c>
      <c r="E396" s="49" t="s">
        <v>808</v>
      </c>
      <c r="F396" s="49" t="s">
        <v>809</v>
      </c>
      <c r="G396" s="47" t="e">
        <v>#N/A</v>
      </c>
      <c r="H396" s="47" t="s">
        <v>94</v>
      </c>
      <c r="I396" s="40" t="s">
        <v>807</v>
      </c>
      <c r="J396" s="40" t="s">
        <v>1762</v>
      </c>
      <c r="K396" s="40" t="s">
        <v>24</v>
      </c>
      <c r="L396" s="40" t="s">
        <v>644</v>
      </c>
      <c r="M396" s="11"/>
      <c r="N396" s="11"/>
      <c r="O396" s="50">
        <v>12.96</v>
      </c>
      <c r="R396" s="9">
        <f>IFERROR(VLOOKUP(E396,Sheet6!$A$2:$B$500,2,FALSE),0)</f>
        <v>0</v>
      </c>
      <c r="S396" s="41">
        <f>IFERROR(VLOOKUP(E396,Sheet6!$C$2:$D$35017,2,FALSE),0)</f>
        <v>0</v>
      </c>
      <c r="U396" s="9">
        <f>IFERROR(VLOOKUP(E396,Sheet2!$AA$1:$AB$975,2,FALSE),0)</f>
        <v>0</v>
      </c>
      <c r="V396" s="41">
        <f>IFERROR(VLOOKUP(E396,Sheet2!$AC$1:$AD$975,2,FALSE),0)</f>
        <v>0</v>
      </c>
      <c r="W396" s="42">
        <f>IFERROR(VLOOKUP(E396,Sheet2!$AE$1:$AF$975,2,FALSE),0)</f>
        <v>0</v>
      </c>
      <c r="X396" s="43">
        <f>IFERROR(VLOOKUP(E396,Sheet2!$AG$1:$AH$975,2,FALSE),0)</f>
        <v>0</v>
      </c>
      <c r="Z396" s="60">
        <f>IFERROR(VLOOKUP(F396,Sheet2!$AA$1:$AB$975,2,FALSE),0)</f>
        <v>0</v>
      </c>
      <c r="AA396" s="64">
        <f>IFERROR(VLOOKUP(F396,Sheet2!$AC$1:$AD$975,2,FALSE),0)</f>
        <v>0</v>
      </c>
      <c r="AB396" s="65">
        <f>IFERROR(VLOOKUP(F396,Sheet2!$AE$2:$AF$6539,2,FALSE),0)</f>
        <v>0</v>
      </c>
      <c r="AC396" s="43">
        <f>IFERROR(VLOOKUP(F396,Sheet2!$AG$2:$AH$6539,2,FALSE),0)</f>
        <v>0</v>
      </c>
      <c r="AE396" s="112">
        <v>2</v>
      </c>
      <c r="AF396" s="9">
        <v>0</v>
      </c>
      <c r="AG396" s="9">
        <v>0</v>
      </c>
      <c r="AH396" s="9">
        <v>0</v>
      </c>
      <c r="AI396" s="9">
        <v>0</v>
      </c>
      <c r="AJ396" s="9">
        <f t="shared" si="14"/>
        <v>2</v>
      </c>
      <c r="AK396" s="45">
        <f t="shared" si="15"/>
        <v>25.92</v>
      </c>
      <c r="AL396" s="68">
        <v>0</v>
      </c>
      <c r="AM396" s="68">
        <v>0</v>
      </c>
    </row>
    <row r="397" spans="1:39" x14ac:dyDescent="0.2">
      <c r="A397" s="57" t="s">
        <v>2082</v>
      </c>
      <c r="B397" s="47">
        <v>46173</v>
      </c>
      <c r="C397" s="48"/>
      <c r="D397" s="48" t="s">
        <v>1582</v>
      </c>
      <c r="E397" s="49" t="s">
        <v>810</v>
      </c>
      <c r="F397" s="49" t="s">
        <v>811</v>
      </c>
      <c r="G397" s="47" t="e">
        <v>#N/A</v>
      </c>
      <c r="H397" s="47" t="s">
        <v>94</v>
      </c>
      <c r="I397" s="40" t="s">
        <v>807</v>
      </c>
      <c r="J397" s="40" t="s">
        <v>1762</v>
      </c>
      <c r="K397" s="40" t="s">
        <v>24</v>
      </c>
      <c r="L397" s="40" t="s">
        <v>656</v>
      </c>
      <c r="M397" s="11"/>
      <c r="N397" s="11"/>
      <c r="O397" s="50">
        <v>12.96</v>
      </c>
      <c r="R397" s="9">
        <f>IFERROR(VLOOKUP(E397,Sheet6!$A$2:$B$500,2,FALSE),0)</f>
        <v>0</v>
      </c>
      <c r="S397" s="41">
        <f>IFERROR(VLOOKUP(E397,Sheet6!$C$2:$D$35017,2,FALSE),0)</f>
        <v>0</v>
      </c>
      <c r="U397" s="9">
        <f>IFERROR(VLOOKUP(E397,Sheet2!$AA$1:$AB$975,2,FALSE),0)</f>
        <v>0</v>
      </c>
      <c r="V397" s="41">
        <f>IFERROR(VLOOKUP(E397,Sheet2!$AC$1:$AD$975,2,FALSE),0)</f>
        <v>0</v>
      </c>
      <c r="W397" s="42">
        <f>IFERROR(VLOOKUP(E397,Sheet2!$AE$1:$AF$975,2,FALSE),0)</f>
        <v>0</v>
      </c>
      <c r="X397" s="43">
        <f>IFERROR(VLOOKUP(E397,Sheet2!$AG$1:$AH$975,2,FALSE),0)</f>
        <v>0</v>
      </c>
      <c r="Z397" s="60">
        <f>IFERROR(VLOOKUP(F397,Sheet2!$AA$1:$AB$975,2,FALSE),0)</f>
        <v>3</v>
      </c>
      <c r="AA397" s="64">
        <f>IFERROR(VLOOKUP(F397,Sheet2!$AC$1:$AD$975,2,FALSE),0)</f>
        <v>89.97</v>
      </c>
      <c r="AB397" s="65">
        <f>IFERROR(VLOOKUP(F397,Sheet2!$AE$2:$AF$6539,2,FALSE),0)</f>
        <v>63</v>
      </c>
      <c r="AC397" s="43">
        <f>IFERROR(VLOOKUP(F397,Sheet2!$AG$2:$AH$6539,2,FALSE),0)</f>
        <v>0.47499999999999998</v>
      </c>
      <c r="AE397" s="112">
        <v>0</v>
      </c>
      <c r="AF397" s="9">
        <v>0</v>
      </c>
      <c r="AG397" s="9">
        <v>0</v>
      </c>
      <c r="AH397" s="9">
        <v>0</v>
      </c>
      <c r="AI397" s="9">
        <v>0</v>
      </c>
      <c r="AJ397" s="9">
        <f t="shared" si="14"/>
        <v>0</v>
      </c>
      <c r="AK397" s="45">
        <f t="shared" si="15"/>
        <v>0</v>
      </c>
      <c r="AL397" s="68">
        <v>12</v>
      </c>
      <c r="AM397" s="68">
        <v>0</v>
      </c>
    </row>
    <row r="398" spans="1:39" x14ac:dyDescent="0.2">
      <c r="A398" s="57" t="s">
        <v>2082</v>
      </c>
      <c r="B398" s="47">
        <v>46173</v>
      </c>
      <c r="C398" s="48"/>
      <c r="D398" s="48" t="s">
        <v>1583</v>
      </c>
      <c r="E398" s="49" t="s">
        <v>812</v>
      </c>
      <c r="F398" s="49" t="s">
        <v>813</v>
      </c>
      <c r="G398" s="47" t="e">
        <v>#N/A</v>
      </c>
      <c r="H398" s="47" t="s">
        <v>94</v>
      </c>
      <c r="I398" s="40" t="s">
        <v>807</v>
      </c>
      <c r="J398" s="40" t="s">
        <v>1762</v>
      </c>
      <c r="K398" s="40" t="s">
        <v>41</v>
      </c>
      <c r="L398" s="40" t="s">
        <v>637</v>
      </c>
      <c r="M398" s="11"/>
      <c r="N398" s="11"/>
      <c r="O398" s="50">
        <v>12.96</v>
      </c>
      <c r="R398" s="9">
        <f>IFERROR(VLOOKUP(E398,Sheet6!$A$2:$B$500,2,FALSE),0)</f>
        <v>0</v>
      </c>
      <c r="S398" s="41">
        <f>IFERROR(VLOOKUP(E398,Sheet6!$C$2:$D$35017,2,FALSE),0)</f>
        <v>0</v>
      </c>
      <c r="U398" s="9">
        <f>IFERROR(VLOOKUP(E398,Sheet2!$AA$1:$AB$975,2,FALSE),0)</f>
        <v>0</v>
      </c>
      <c r="V398" s="41">
        <f>IFERROR(VLOOKUP(E398,Sheet2!$AC$1:$AD$975,2,FALSE),0)</f>
        <v>0</v>
      </c>
      <c r="W398" s="42">
        <f>IFERROR(VLOOKUP(E398,Sheet2!$AE$1:$AF$975,2,FALSE),0)</f>
        <v>0</v>
      </c>
      <c r="X398" s="43">
        <f>IFERROR(VLOOKUP(E398,Sheet2!$AG$1:$AH$975,2,FALSE),0)</f>
        <v>0</v>
      </c>
      <c r="Z398" s="60">
        <f>IFERROR(VLOOKUP(F398,Sheet2!$AA$1:$AB$975,2,FALSE),0)</f>
        <v>2</v>
      </c>
      <c r="AA398" s="64">
        <f>IFERROR(VLOOKUP(F398,Sheet2!$AC$1:$AD$975,2,FALSE),0)</f>
        <v>59.98</v>
      </c>
      <c r="AB398" s="65">
        <f>IFERROR(VLOOKUP(F398,Sheet2!$AE$2:$AF$6539,2,FALSE),0)</f>
        <v>22</v>
      </c>
      <c r="AC398" s="43">
        <f>IFERROR(VLOOKUP(F398,Sheet2!$AG$2:$AH$6539,2,FALSE),0)</f>
        <v>1</v>
      </c>
      <c r="AE398" s="112">
        <v>4</v>
      </c>
      <c r="AF398" s="9">
        <v>21</v>
      </c>
      <c r="AG398" s="9">
        <v>0</v>
      </c>
      <c r="AH398" s="9">
        <v>0</v>
      </c>
      <c r="AI398" s="9">
        <v>21</v>
      </c>
      <c r="AJ398" s="9">
        <f t="shared" si="14"/>
        <v>25</v>
      </c>
      <c r="AK398" s="45">
        <f t="shared" si="15"/>
        <v>324</v>
      </c>
      <c r="AL398" s="68">
        <v>0</v>
      </c>
      <c r="AM398" s="68">
        <v>0</v>
      </c>
    </row>
    <row r="399" spans="1:39" x14ac:dyDescent="0.2">
      <c r="A399" s="57" t="s">
        <v>2082</v>
      </c>
      <c r="B399" s="47">
        <v>46173</v>
      </c>
      <c r="C399" s="48"/>
      <c r="D399" s="48" t="s">
        <v>1584</v>
      </c>
      <c r="E399" s="49" t="s">
        <v>814</v>
      </c>
      <c r="F399" s="49" t="s">
        <v>815</v>
      </c>
      <c r="G399" s="47" t="e">
        <v>#N/A</v>
      </c>
      <c r="H399" s="47" t="s">
        <v>94</v>
      </c>
      <c r="I399" s="40" t="s">
        <v>807</v>
      </c>
      <c r="J399" s="40" t="s">
        <v>1762</v>
      </c>
      <c r="K399" s="40" t="s">
        <v>41</v>
      </c>
      <c r="L399" s="40" t="s">
        <v>644</v>
      </c>
      <c r="M399" s="11"/>
      <c r="N399" s="11"/>
      <c r="O399" s="50">
        <v>12.96</v>
      </c>
      <c r="R399" s="9">
        <f>IFERROR(VLOOKUP(E399,Sheet6!$A$2:$B$500,2,FALSE),0)</f>
        <v>0</v>
      </c>
      <c r="S399" s="41">
        <f>IFERROR(VLOOKUP(E399,Sheet6!$C$2:$D$35017,2,FALSE),0)</f>
        <v>0</v>
      </c>
      <c r="U399" s="9">
        <f>IFERROR(VLOOKUP(E399,Sheet2!$AA$1:$AB$975,2,FALSE),0)</f>
        <v>0</v>
      </c>
      <c r="V399" s="41">
        <f>IFERROR(VLOOKUP(E399,Sheet2!$AC$1:$AD$975,2,FALSE),0)</f>
        <v>0</v>
      </c>
      <c r="W399" s="42">
        <f>IFERROR(VLOOKUP(E399,Sheet2!$AE$1:$AF$975,2,FALSE),0)</f>
        <v>0</v>
      </c>
      <c r="X399" s="43">
        <f>IFERROR(VLOOKUP(E399,Sheet2!$AG$1:$AH$975,2,FALSE),0)</f>
        <v>0</v>
      </c>
      <c r="Z399" s="60">
        <f>IFERROR(VLOOKUP(F399,Sheet2!$AA$1:$AB$975,2,FALSE),0)</f>
        <v>2</v>
      </c>
      <c r="AA399" s="64">
        <f>IFERROR(VLOOKUP(F399,Sheet2!$AC$1:$AD$975,2,FALSE),0)</f>
        <v>59.98</v>
      </c>
      <c r="AB399" s="65">
        <f>IFERROR(VLOOKUP(F399,Sheet2!$AE$2:$AF$6539,2,FALSE),0)</f>
        <v>6</v>
      </c>
      <c r="AC399" s="43">
        <f>IFERROR(VLOOKUP(F399,Sheet2!$AG$2:$AH$6539,2,FALSE),0)</f>
        <v>1</v>
      </c>
      <c r="AE399" s="112">
        <v>0</v>
      </c>
      <c r="AF399" s="9">
        <v>0</v>
      </c>
      <c r="AG399" s="9">
        <v>0</v>
      </c>
      <c r="AH399" s="9">
        <v>0</v>
      </c>
      <c r="AI399" s="9">
        <v>0</v>
      </c>
      <c r="AJ399" s="9">
        <f t="shared" si="14"/>
        <v>0</v>
      </c>
      <c r="AK399" s="45">
        <f t="shared" si="15"/>
        <v>0</v>
      </c>
      <c r="AL399" s="68">
        <v>30</v>
      </c>
      <c r="AM399" s="68">
        <v>0</v>
      </c>
    </row>
    <row r="400" spans="1:39" x14ac:dyDescent="0.2">
      <c r="A400" s="57" t="s">
        <v>2082</v>
      </c>
      <c r="B400" s="47">
        <v>46173</v>
      </c>
      <c r="C400" s="48"/>
      <c r="D400" s="48" t="s">
        <v>1585</v>
      </c>
      <c r="E400" s="49" t="s">
        <v>816</v>
      </c>
      <c r="F400" s="49" t="s">
        <v>817</v>
      </c>
      <c r="G400" s="47" t="e">
        <v>#N/A</v>
      </c>
      <c r="H400" s="47" t="s">
        <v>94</v>
      </c>
      <c r="I400" s="40" t="s">
        <v>807</v>
      </c>
      <c r="J400" s="40" t="s">
        <v>1762</v>
      </c>
      <c r="K400" s="40" t="s">
        <v>41</v>
      </c>
      <c r="L400" s="40" t="s">
        <v>656</v>
      </c>
      <c r="M400" s="11"/>
      <c r="N400" s="11"/>
      <c r="O400" s="50">
        <v>12.96</v>
      </c>
      <c r="R400" s="9">
        <f>IFERROR(VLOOKUP(E400,Sheet6!$A$2:$B$500,2,FALSE),0)</f>
        <v>0</v>
      </c>
      <c r="S400" s="41">
        <f>IFERROR(VLOOKUP(E400,Sheet6!$C$2:$D$35017,2,FALSE),0)</f>
        <v>0</v>
      </c>
      <c r="U400" s="9">
        <f>IFERROR(VLOOKUP(E400,Sheet2!$AA$1:$AB$975,2,FALSE),0)</f>
        <v>0</v>
      </c>
      <c r="V400" s="41">
        <f>IFERROR(VLOOKUP(E400,Sheet2!$AC$1:$AD$975,2,FALSE),0)</f>
        <v>0</v>
      </c>
      <c r="W400" s="42">
        <f>IFERROR(VLOOKUP(E400,Sheet2!$AE$1:$AF$975,2,FALSE),0)</f>
        <v>0</v>
      </c>
      <c r="X400" s="43">
        <f>IFERROR(VLOOKUP(E400,Sheet2!$AG$1:$AH$975,2,FALSE),0)</f>
        <v>0</v>
      </c>
      <c r="Z400" s="60">
        <f>IFERROR(VLOOKUP(F400,Sheet2!$AA$1:$AB$975,2,FALSE),0)</f>
        <v>0</v>
      </c>
      <c r="AA400" s="64">
        <f>IFERROR(VLOOKUP(F400,Sheet2!$AC$1:$AD$975,2,FALSE),0)</f>
        <v>0</v>
      </c>
      <c r="AB400" s="65">
        <f>IFERROR(VLOOKUP(F400,Sheet2!$AE$2:$AF$6539,2,FALSE),0)</f>
        <v>0</v>
      </c>
      <c r="AC400" s="43">
        <f>IFERROR(VLOOKUP(F400,Sheet2!$AG$2:$AH$6539,2,FALSE),0)</f>
        <v>0</v>
      </c>
      <c r="AE400" s="112">
        <v>0</v>
      </c>
      <c r="AF400" s="9">
        <v>0</v>
      </c>
      <c r="AG400" s="9">
        <v>18</v>
      </c>
      <c r="AH400" s="9">
        <v>0</v>
      </c>
      <c r="AI400" s="9">
        <v>18</v>
      </c>
      <c r="AJ400" s="9">
        <f t="shared" si="14"/>
        <v>18</v>
      </c>
      <c r="AK400" s="45">
        <f t="shared" si="15"/>
        <v>233.28000000000003</v>
      </c>
      <c r="AL400" s="68">
        <v>0</v>
      </c>
      <c r="AM400" s="68">
        <v>12</v>
      </c>
    </row>
    <row r="401" spans="1:39" x14ac:dyDescent="0.2">
      <c r="A401" s="57" t="s">
        <v>2082</v>
      </c>
      <c r="B401" s="47">
        <v>46173</v>
      </c>
      <c r="C401" s="48"/>
      <c r="D401" s="48" t="s">
        <v>1586</v>
      </c>
      <c r="E401" s="49" t="s">
        <v>818</v>
      </c>
      <c r="F401" s="49" t="s">
        <v>819</v>
      </c>
      <c r="G401" s="47" t="e">
        <v>#N/A</v>
      </c>
      <c r="H401" s="47" t="s">
        <v>94</v>
      </c>
      <c r="I401" s="9" t="s">
        <v>820</v>
      </c>
      <c r="J401" s="40" t="s">
        <v>1662</v>
      </c>
      <c r="K401" s="40" t="s">
        <v>24</v>
      </c>
      <c r="L401" s="40" t="s">
        <v>25</v>
      </c>
      <c r="M401" s="11"/>
      <c r="N401" s="11"/>
      <c r="O401" s="50">
        <v>9.9</v>
      </c>
      <c r="R401" s="9">
        <f>IFERROR(VLOOKUP(E401,Sheet6!$A$2:$B$500,2,FALSE),0)</f>
        <v>0</v>
      </c>
      <c r="S401" s="41">
        <f>IFERROR(VLOOKUP(E401,Sheet6!$C$2:$D$35017,2,FALSE),0)</f>
        <v>0</v>
      </c>
      <c r="U401" s="9">
        <f>IFERROR(VLOOKUP(E401,Sheet2!$AA$1:$AB$975,2,FALSE),0)</f>
        <v>0</v>
      </c>
      <c r="V401" s="41">
        <f>IFERROR(VLOOKUP(E401,Sheet2!$AC$1:$AD$975,2,FALSE),0)</f>
        <v>0</v>
      </c>
      <c r="W401" s="42">
        <f>IFERROR(VLOOKUP(E401,Sheet2!$AE$1:$AF$975,2,FALSE),0)</f>
        <v>0</v>
      </c>
      <c r="X401" s="43">
        <f>IFERROR(VLOOKUP(E401,Sheet2!$AG$1:$AH$975,2,FALSE),0)</f>
        <v>0</v>
      </c>
      <c r="Z401" s="60">
        <f>IFERROR(VLOOKUP(F401,Sheet2!$AA$1:$AB$975,2,FALSE),0)</f>
        <v>23</v>
      </c>
      <c r="AA401" s="64">
        <f>IFERROR(VLOOKUP(F401,Sheet2!$AC$1:$AD$975,2,FALSE),0)</f>
        <v>505.77</v>
      </c>
      <c r="AB401" s="65">
        <f>IFERROR(VLOOKUP(F401,Sheet2!$AE$2:$AF$6539,2,FALSE),0)</f>
        <v>82</v>
      </c>
      <c r="AC401" s="43">
        <f>IFERROR(VLOOKUP(F401,Sheet2!$AG$2:$AH$6539,2,FALSE),0)</f>
        <v>0.9083</v>
      </c>
      <c r="AE401" s="112">
        <v>0</v>
      </c>
      <c r="AF401" s="9">
        <v>98</v>
      </c>
      <c r="AG401" s="9">
        <v>0</v>
      </c>
      <c r="AH401" s="9">
        <v>0</v>
      </c>
      <c r="AI401" s="9">
        <v>98</v>
      </c>
      <c r="AJ401" s="9">
        <f t="shared" si="14"/>
        <v>98</v>
      </c>
      <c r="AK401" s="45">
        <f t="shared" si="15"/>
        <v>970.2</v>
      </c>
      <c r="AL401" s="68">
        <v>0</v>
      </c>
      <c r="AM401" s="68">
        <v>0</v>
      </c>
    </row>
    <row r="402" spans="1:39" x14ac:dyDescent="0.2">
      <c r="A402" s="57" t="s">
        <v>2082</v>
      </c>
      <c r="B402" s="47">
        <v>46173</v>
      </c>
      <c r="C402" s="48"/>
      <c r="D402" s="48" t="s">
        <v>1587</v>
      </c>
      <c r="E402" s="49" t="s">
        <v>821</v>
      </c>
      <c r="F402" s="49" t="s">
        <v>822</v>
      </c>
      <c r="G402" s="47" t="e">
        <v>#N/A</v>
      </c>
      <c r="H402" s="47" t="s">
        <v>94</v>
      </c>
      <c r="I402" s="9" t="s">
        <v>823</v>
      </c>
      <c r="J402" s="40" t="s">
        <v>1761</v>
      </c>
      <c r="K402" s="9" t="s">
        <v>24</v>
      </c>
      <c r="L402" s="9" t="s">
        <v>29</v>
      </c>
      <c r="M402" s="11"/>
      <c r="N402" s="11"/>
      <c r="O402" s="50">
        <v>7.65</v>
      </c>
      <c r="R402" s="9">
        <f>IFERROR(VLOOKUP(E402,Sheet6!$A$2:$B$500,2,FALSE),0)</f>
        <v>0</v>
      </c>
      <c r="S402" s="41">
        <f>IFERROR(VLOOKUP(E402,Sheet6!$C$2:$D$35017,2,FALSE),0)</f>
        <v>0</v>
      </c>
      <c r="U402" s="9">
        <f>IFERROR(VLOOKUP(E402,Sheet2!$AA$1:$AB$975,2,FALSE),0)</f>
        <v>21</v>
      </c>
      <c r="V402" s="41">
        <f>IFERROR(VLOOKUP(E402,Sheet2!$AC$1:$AD$975,2,FALSE),0)</f>
        <v>357</v>
      </c>
      <c r="W402" s="42">
        <f>IFERROR(VLOOKUP(E402,Sheet2!$AE$1:$AF$975,2,FALSE),0)</f>
        <v>136</v>
      </c>
      <c r="X402" s="43">
        <f>IFERROR(VLOOKUP(E402,Sheet2!$AG$1:$AH$975,2,FALSE),0)</f>
        <v>0.88019999999999998</v>
      </c>
      <c r="Z402" s="60">
        <f>IFERROR(VLOOKUP(F402,Sheet2!$AA$1:$AB$975,2,FALSE),0)</f>
        <v>0</v>
      </c>
      <c r="AA402" s="64">
        <f>IFERROR(VLOOKUP(F402,Sheet2!$AC$1:$AD$975,2,FALSE),0)</f>
        <v>0</v>
      </c>
      <c r="AB402" s="65">
        <f>IFERROR(VLOOKUP(F402,Sheet2!$AE$2:$AF$6539,2,FALSE),0)</f>
        <v>0</v>
      </c>
      <c r="AC402" s="43">
        <f>IFERROR(VLOOKUP(F402,Sheet2!$AG$2:$AH$6539,2,FALSE),0)</f>
        <v>0</v>
      </c>
      <c r="AE402" s="112">
        <v>0</v>
      </c>
      <c r="AF402" s="9">
        <v>0</v>
      </c>
      <c r="AG402" s="9">
        <v>0</v>
      </c>
      <c r="AH402" s="9">
        <v>0</v>
      </c>
      <c r="AI402" s="9">
        <v>0</v>
      </c>
      <c r="AJ402" s="9">
        <f t="shared" si="14"/>
        <v>0</v>
      </c>
      <c r="AK402" s="45">
        <f t="shared" si="15"/>
        <v>0</v>
      </c>
      <c r="AL402" s="68">
        <v>0</v>
      </c>
      <c r="AM402" s="68">
        <v>0</v>
      </c>
    </row>
    <row r="403" spans="1:39" x14ac:dyDescent="0.2">
      <c r="A403" s="57" t="s">
        <v>2082</v>
      </c>
      <c r="B403" s="47">
        <v>46173</v>
      </c>
      <c r="C403" s="48"/>
      <c r="D403" s="48" t="s">
        <v>1588</v>
      </c>
      <c r="E403" s="49" t="s">
        <v>824</v>
      </c>
      <c r="F403" s="49" t="s">
        <v>825</v>
      </c>
      <c r="G403" s="47" t="e">
        <v>#N/A</v>
      </c>
      <c r="H403" s="47" t="s">
        <v>94</v>
      </c>
      <c r="I403" s="9" t="s">
        <v>823</v>
      </c>
      <c r="J403" s="40" t="s">
        <v>1761</v>
      </c>
      <c r="K403" s="9" t="s">
        <v>24</v>
      </c>
      <c r="L403" s="9" t="s">
        <v>32</v>
      </c>
      <c r="M403" s="11"/>
      <c r="N403" s="11"/>
      <c r="O403" s="50">
        <v>7.65</v>
      </c>
      <c r="R403" s="9">
        <f>IFERROR(VLOOKUP(E403,Sheet6!$A$2:$B$500,2,FALSE),0)</f>
        <v>2</v>
      </c>
      <c r="S403" s="41">
        <f>IFERROR(VLOOKUP(E403,Sheet6!$C$2:$D$35017,2,FALSE),0)</f>
        <v>34</v>
      </c>
      <c r="U403" s="9">
        <f>IFERROR(VLOOKUP(E403,Sheet2!$AA$1:$AB$975,2,FALSE),0)</f>
        <v>0</v>
      </c>
      <c r="V403" s="41">
        <f>IFERROR(VLOOKUP(E403,Sheet2!$AC$1:$AD$975,2,FALSE),0)</f>
        <v>0</v>
      </c>
      <c r="W403" s="42">
        <f>IFERROR(VLOOKUP(E403,Sheet2!$AE$1:$AF$975,2,FALSE),0)</f>
        <v>0</v>
      </c>
      <c r="X403" s="43">
        <f>IFERROR(VLOOKUP(E403,Sheet2!$AG$1:$AH$975,2,FALSE),0)</f>
        <v>0</v>
      </c>
      <c r="Z403" s="60">
        <f>IFERROR(VLOOKUP(F403,Sheet2!$AA$1:$AB$975,2,FALSE),0)</f>
        <v>0</v>
      </c>
      <c r="AA403" s="64">
        <f>IFERROR(VLOOKUP(F403,Sheet2!$AC$1:$AD$975,2,FALSE),0)</f>
        <v>0</v>
      </c>
      <c r="AB403" s="65">
        <f>IFERROR(VLOOKUP(F403,Sheet2!$AE$2:$AF$6539,2,FALSE),0)</f>
        <v>0</v>
      </c>
      <c r="AC403" s="43">
        <f>IFERROR(VLOOKUP(F403,Sheet2!$AG$2:$AH$6539,2,FALSE),0)</f>
        <v>0</v>
      </c>
      <c r="AE403" s="112">
        <v>0</v>
      </c>
      <c r="AF403" s="9">
        <v>0</v>
      </c>
      <c r="AG403" s="9">
        <v>0</v>
      </c>
      <c r="AH403" s="9">
        <v>0</v>
      </c>
      <c r="AI403" s="9">
        <v>0</v>
      </c>
      <c r="AJ403" s="9">
        <f t="shared" si="14"/>
        <v>0</v>
      </c>
      <c r="AK403" s="45">
        <f t="shared" si="15"/>
        <v>0</v>
      </c>
      <c r="AL403" s="68">
        <v>0</v>
      </c>
      <c r="AM403" s="68">
        <v>0</v>
      </c>
    </row>
    <row r="404" spans="1:39" x14ac:dyDescent="0.2">
      <c r="A404" s="57" t="s">
        <v>2082</v>
      </c>
      <c r="B404" s="47">
        <v>46173</v>
      </c>
      <c r="C404" s="48"/>
      <c r="D404" s="48" t="s">
        <v>1589</v>
      </c>
      <c r="E404" s="49" t="s">
        <v>826</v>
      </c>
      <c r="F404" s="49" t="s">
        <v>827</v>
      </c>
      <c r="G404" s="47" t="e">
        <v>#N/A</v>
      </c>
      <c r="H404" s="47" t="s">
        <v>94</v>
      </c>
      <c r="I404" s="9" t="s">
        <v>823</v>
      </c>
      <c r="J404" s="40" t="s">
        <v>1761</v>
      </c>
      <c r="K404" s="9" t="s">
        <v>24</v>
      </c>
      <c r="L404" s="9" t="s">
        <v>35</v>
      </c>
      <c r="M404" s="11"/>
      <c r="N404" s="11"/>
      <c r="O404" s="50">
        <v>7.65</v>
      </c>
      <c r="R404" s="9">
        <f>IFERROR(VLOOKUP(E404,Sheet6!$A$2:$B$500,2,FALSE),0)</f>
        <v>0</v>
      </c>
      <c r="S404" s="41">
        <f>IFERROR(VLOOKUP(E404,Sheet6!$C$2:$D$35017,2,FALSE),0)</f>
        <v>0</v>
      </c>
      <c r="U404" s="9">
        <f>IFERROR(VLOOKUP(E404,Sheet2!$AA$1:$AB$975,2,FALSE),0)</f>
        <v>0</v>
      </c>
      <c r="V404" s="41">
        <f>IFERROR(VLOOKUP(E404,Sheet2!$AC$1:$AD$975,2,FALSE),0)</f>
        <v>0</v>
      </c>
      <c r="W404" s="42">
        <f>IFERROR(VLOOKUP(E404,Sheet2!$AE$1:$AF$975,2,FALSE),0)</f>
        <v>0</v>
      </c>
      <c r="X404" s="43">
        <f>IFERROR(VLOOKUP(E404,Sheet2!$AG$1:$AH$975,2,FALSE),0)</f>
        <v>0</v>
      </c>
      <c r="Z404" s="60">
        <f>IFERROR(VLOOKUP(F404,Sheet2!$AA$1:$AB$975,2,FALSE),0)</f>
        <v>0</v>
      </c>
      <c r="AA404" s="64">
        <f>IFERROR(VLOOKUP(F404,Sheet2!$AC$1:$AD$975,2,FALSE),0)</f>
        <v>0</v>
      </c>
      <c r="AB404" s="65">
        <f>IFERROR(VLOOKUP(F404,Sheet2!$AE$2:$AF$6539,2,FALSE),0)</f>
        <v>0</v>
      </c>
      <c r="AC404" s="43">
        <f>IFERROR(VLOOKUP(F404,Sheet2!$AG$2:$AH$6539,2,FALSE),0)</f>
        <v>0</v>
      </c>
      <c r="AE404" s="112">
        <v>0</v>
      </c>
      <c r="AF404" s="9">
        <v>0</v>
      </c>
      <c r="AG404" s="9">
        <v>0</v>
      </c>
      <c r="AH404" s="9">
        <v>0</v>
      </c>
      <c r="AI404" s="9">
        <v>0</v>
      </c>
      <c r="AJ404" s="9">
        <f t="shared" si="14"/>
        <v>0</v>
      </c>
      <c r="AK404" s="45">
        <f t="shared" si="15"/>
        <v>0</v>
      </c>
      <c r="AL404" s="68">
        <v>0</v>
      </c>
      <c r="AM404" s="68">
        <v>0</v>
      </c>
    </row>
    <row r="405" spans="1:39" x14ac:dyDescent="0.2">
      <c r="A405" s="57" t="s">
        <v>2082</v>
      </c>
      <c r="B405" s="47">
        <v>46173</v>
      </c>
      <c r="C405" s="48"/>
      <c r="D405" s="48" t="s">
        <v>1590</v>
      </c>
      <c r="E405" s="49" t="s">
        <v>828</v>
      </c>
      <c r="F405" s="49" t="s">
        <v>829</v>
      </c>
      <c r="G405" s="47" t="e">
        <v>#N/A</v>
      </c>
      <c r="H405" s="47" t="s">
        <v>94</v>
      </c>
      <c r="I405" s="9" t="s">
        <v>823</v>
      </c>
      <c r="J405" s="40" t="s">
        <v>1761</v>
      </c>
      <c r="K405" s="9" t="s">
        <v>41</v>
      </c>
      <c r="L405" s="9" t="s">
        <v>29</v>
      </c>
      <c r="M405" s="11"/>
      <c r="N405" s="11"/>
      <c r="O405" s="50">
        <v>7.65</v>
      </c>
      <c r="R405" s="9">
        <f>IFERROR(VLOOKUP(E405,Sheet6!$A$2:$B$500,2,FALSE),0)</f>
        <v>5</v>
      </c>
      <c r="S405" s="41">
        <f>IFERROR(VLOOKUP(E405,Sheet6!$C$2:$D$35017,2,FALSE),0)</f>
        <v>85</v>
      </c>
      <c r="U405" s="9">
        <f>IFERROR(VLOOKUP(E405,Sheet2!$AA$1:$AB$975,2,FALSE),0)</f>
        <v>2</v>
      </c>
      <c r="V405" s="41">
        <f>IFERROR(VLOOKUP(E405,Sheet2!$AC$1:$AD$975,2,FALSE),0)</f>
        <v>34</v>
      </c>
      <c r="W405" s="42">
        <f>IFERROR(VLOOKUP(E405,Sheet2!$AE$1:$AF$975,2,FALSE),0)</f>
        <v>68</v>
      </c>
      <c r="X405" s="43">
        <f>IFERROR(VLOOKUP(E405,Sheet2!$AG$1:$AH$975,2,FALSE),0)</f>
        <v>8.7900000000000006E-2</v>
      </c>
      <c r="Z405" s="60">
        <f>IFERROR(VLOOKUP(F405,Sheet2!$AA$1:$AB$975,2,FALSE),0)</f>
        <v>0</v>
      </c>
      <c r="AA405" s="64">
        <f>IFERROR(VLOOKUP(F405,Sheet2!$AC$1:$AD$975,2,FALSE),0)</f>
        <v>0</v>
      </c>
      <c r="AB405" s="65">
        <f>IFERROR(VLOOKUP(F405,Sheet2!$AE$2:$AF$6539,2,FALSE),0)</f>
        <v>0</v>
      </c>
      <c r="AC405" s="43">
        <f>IFERROR(VLOOKUP(F405,Sheet2!$AG$2:$AH$6539,2,FALSE),0)</f>
        <v>0</v>
      </c>
      <c r="AE405" s="112">
        <v>8</v>
      </c>
      <c r="AF405" s="9">
        <v>0</v>
      </c>
      <c r="AG405" s="9">
        <v>0</v>
      </c>
      <c r="AH405" s="9">
        <v>0</v>
      </c>
      <c r="AI405" s="9">
        <v>0</v>
      </c>
      <c r="AJ405" s="9">
        <f t="shared" si="14"/>
        <v>8</v>
      </c>
      <c r="AK405" s="45">
        <f t="shared" si="15"/>
        <v>61.2</v>
      </c>
      <c r="AL405" s="68">
        <v>0</v>
      </c>
      <c r="AM405" s="68">
        <v>0</v>
      </c>
    </row>
    <row r="406" spans="1:39" x14ac:dyDescent="0.2">
      <c r="A406" s="57" t="s">
        <v>2082</v>
      </c>
      <c r="B406" s="47">
        <v>46173</v>
      </c>
      <c r="C406" s="48"/>
      <c r="D406" s="48" t="s">
        <v>1591</v>
      </c>
      <c r="E406" s="49" t="s">
        <v>830</v>
      </c>
      <c r="F406" s="49" t="s">
        <v>831</v>
      </c>
      <c r="G406" s="47" t="e">
        <v>#N/A</v>
      </c>
      <c r="H406" s="47" t="s">
        <v>94</v>
      </c>
      <c r="I406" s="9" t="s">
        <v>823</v>
      </c>
      <c r="J406" s="40" t="s">
        <v>1761</v>
      </c>
      <c r="K406" s="9" t="s">
        <v>41</v>
      </c>
      <c r="L406" s="9" t="s">
        <v>32</v>
      </c>
      <c r="M406" s="11"/>
      <c r="N406" s="11"/>
      <c r="O406" s="50">
        <v>7.65</v>
      </c>
      <c r="R406" s="9">
        <f>IFERROR(VLOOKUP(E406,Sheet6!$A$2:$B$500,2,FALSE),0)</f>
        <v>0</v>
      </c>
      <c r="S406" s="41">
        <f>IFERROR(VLOOKUP(E406,Sheet6!$C$2:$D$35017,2,FALSE),0)</f>
        <v>0</v>
      </c>
      <c r="U406" s="9">
        <f>IFERROR(VLOOKUP(E406,Sheet2!$AA$1:$AB$975,2,FALSE),0)</f>
        <v>0</v>
      </c>
      <c r="V406" s="41">
        <f>IFERROR(VLOOKUP(E406,Sheet2!$AC$1:$AD$975,2,FALSE),0)</f>
        <v>0</v>
      </c>
      <c r="W406" s="42">
        <f>IFERROR(VLOOKUP(E406,Sheet2!$AE$1:$AF$975,2,FALSE),0)</f>
        <v>0</v>
      </c>
      <c r="X406" s="43">
        <f>IFERROR(VLOOKUP(E406,Sheet2!$AG$1:$AH$975,2,FALSE),0)</f>
        <v>0</v>
      </c>
      <c r="Z406" s="60">
        <f>IFERROR(VLOOKUP(F406,Sheet2!$AA$1:$AB$975,2,FALSE),0)</f>
        <v>0</v>
      </c>
      <c r="AA406" s="64">
        <f>IFERROR(VLOOKUP(F406,Sheet2!$AC$1:$AD$975,2,FALSE),0)</f>
        <v>0</v>
      </c>
      <c r="AB406" s="65">
        <f>IFERROR(VLOOKUP(F406,Sheet2!$AE$2:$AF$6539,2,FALSE),0)</f>
        <v>0</v>
      </c>
      <c r="AC406" s="43">
        <f>IFERROR(VLOOKUP(F406,Sheet2!$AG$2:$AH$6539,2,FALSE),0)</f>
        <v>0</v>
      </c>
      <c r="AE406" s="112">
        <v>10</v>
      </c>
      <c r="AF406" s="9">
        <v>0</v>
      </c>
      <c r="AG406" s="9">
        <v>0</v>
      </c>
      <c r="AH406" s="9">
        <v>0</v>
      </c>
      <c r="AI406" s="9">
        <v>0</v>
      </c>
      <c r="AJ406" s="9">
        <f t="shared" si="14"/>
        <v>10</v>
      </c>
      <c r="AK406" s="45">
        <f t="shared" si="15"/>
        <v>76.5</v>
      </c>
      <c r="AL406" s="68">
        <v>0</v>
      </c>
      <c r="AM406" s="68">
        <v>0</v>
      </c>
    </row>
    <row r="407" spans="1:39" x14ac:dyDescent="0.2">
      <c r="A407" s="57" t="s">
        <v>2082</v>
      </c>
      <c r="B407" s="47">
        <v>46173</v>
      </c>
      <c r="C407" s="48"/>
      <c r="D407" s="48" t="s">
        <v>1592</v>
      </c>
      <c r="E407" s="49" t="s">
        <v>832</v>
      </c>
      <c r="F407" s="49" t="s">
        <v>833</v>
      </c>
      <c r="G407" s="47" t="e">
        <v>#N/A</v>
      </c>
      <c r="H407" s="47" t="s">
        <v>94</v>
      </c>
      <c r="I407" s="9" t="s">
        <v>834</v>
      </c>
      <c r="J407" s="40" t="s">
        <v>1720</v>
      </c>
      <c r="K407" s="40" t="s">
        <v>24</v>
      </c>
      <c r="L407" s="40" t="s">
        <v>29</v>
      </c>
      <c r="M407" s="11"/>
      <c r="N407" s="11"/>
      <c r="O407" s="50">
        <v>11.25</v>
      </c>
      <c r="R407" s="9">
        <f>IFERROR(VLOOKUP(E407,Sheet6!$A$2:$B$500,2,FALSE),0)</f>
        <v>1</v>
      </c>
      <c r="S407" s="41">
        <f>IFERROR(VLOOKUP(E407,Sheet6!$C$2:$D$35017,2,FALSE),0)</f>
        <v>25</v>
      </c>
      <c r="U407" s="9">
        <f>IFERROR(VLOOKUP(E407,Sheet2!$AA$1:$AB$975,2,FALSE),0)</f>
        <v>0</v>
      </c>
      <c r="V407" s="41">
        <f>IFERROR(VLOOKUP(E407,Sheet2!$AC$1:$AD$975,2,FALSE),0)</f>
        <v>0</v>
      </c>
      <c r="W407" s="42">
        <f>IFERROR(VLOOKUP(E407,Sheet2!$AE$1:$AF$975,2,FALSE),0)</f>
        <v>0</v>
      </c>
      <c r="X407" s="43">
        <f>IFERROR(VLOOKUP(E407,Sheet2!$AG$1:$AH$975,2,FALSE),0)</f>
        <v>0</v>
      </c>
      <c r="Z407" s="60">
        <f>IFERROR(VLOOKUP(F407,Sheet2!$AA$1:$AB$975,2,FALSE),0)</f>
        <v>2</v>
      </c>
      <c r="AA407" s="64">
        <f>IFERROR(VLOOKUP(F407,Sheet2!$AC$1:$AD$975,2,FALSE),0)</f>
        <v>49.98</v>
      </c>
      <c r="AB407" s="65">
        <f>IFERROR(VLOOKUP(F407,Sheet2!$AE$2:$AF$6539,2,FALSE),0)</f>
        <v>22</v>
      </c>
      <c r="AC407" s="43">
        <f>IFERROR(VLOOKUP(F407,Sheet2!$AG$2:$AH$6539,2,FALSE),0)</f>
        <v>0.13789999999999999</v>
      </c>
      <c r="AE407" s="112">
        <v>8</v>
      </c>
      <c r="AF407" s="9">
        <v>52</v>
      </c>
      <c r="AG407" s="9">
        <v>0</v>
      </c>
      <c r="AH407" s="9">
        <v>0</v>
      </c>
      <c r="AI407" s="9">
        <v>52</v>
      </c>
      <c r="AJ407" s="9">
        <f t="shared" si="14"/>
        <v>60</v>
      </c>
      <c r="AK407" s="45">
        <f t="shared" si="15"/>
        <v>675</v>
      </c>
      <c r="AL407" s="68">
        <v>0</v>
      </c>
      <c r="AM407" s="68">
        <v>0</v>
      </c>
    </row>
    <row r="408" spans="1:39" x14ac:dyDescent="0.2">
      <c r="A408" s="57" t="s">
        <v>2082</v>
      </c>
      <c r="B408" s="47">
        <v>46173</v>
      </c>
      <c r="C408" s="48"/>
      <c r="D408" s="48" t="s">
        <v>1593</v>
      </c>
      <c r="E408" s="49" t="s">
        <v>835</v>
      </c>
      <c r="F408" s="49" t="s">
        <v>836</v>
      </c>
      <c r="G408" s="47" t="e">
        <v>#N/A</v>
      </c>
      <c r="H408" s="47" t="s">
        <v>94</v>
      </c>
      <c r="I408" s="9" t="s">
        <v>834</v>
      </c>
      <c r="J408" s="40" t="s">
        <v>1720</v>
      </c>
      <c r="K408" s="40" t="s">
        <v>24</v>
      </c>
      <c r="L408" s="40" t="s">
        <v>32</v>
      </c>
      <c r="M408" s="11"/>
      <c r="N408" s="11"/>
      <c r="O408" s="50">
        <v>11.25</v>
      </c>
      <c r="R408" s="9">
        <f>IFERROR(VLOOKUP(E408,Sheet6!$A$2:$B$500,2,FALSE),0)</f>
        <v>0</v>
      </c>
      <c r="S408" s="41">
        <f>IFERROR(VLOOKUP(E408,Sheet6!$C$2:$D$35017,2,FALSE),0)</f>
        <v>0</v>
      </c>
      <c r="U408" s="9">
        <f>IFERROR(VLOOKUP(E408,Sheet2!$AA$1:$AB$975,2,FALSE),0)</f>
        <v>0</v>
      </c>
      <c r="V408" s="41">
        <f>IFERROR(VLOOKUP(E408,Sheet2!$AC$1:$AD$975,2,FALSE),0)</f>
        <v>0</v>
      </c>
      <c r="W408" s="42">
        <f>IFERROR(VLOOKUP(E408,Sheet2!$AE$1:$AF$975,2,FALSE),0)</f>
        <v>0</v>
      </c>
      <c r="X408" s="43">
        <f>IFERROR(VLOOKUP(E408,Sheet2!$AG$1:$AH$975,2,FALSE),0)</f>
        <v>0</v>
      </c>
      <c r="Z408" s="60">
        <f>IFERROR(VLOOKUP(F408,Sheet2!$AA$1:$AB$975,2,FALSE),0)</f>
        <v>0</v>
      </c>
      <c r="AA408" s="64">
        <f>IFERROR(VLOOKUP(F408,Sheet2!$AC$1:$AD$975,2,FALSE),0)</f>
        <v>0</v>
      </c>
      <c r="AB408" s="65">
        <f>IFERROR(VLOOKUP(F408,Sheet2!$AE$2:$AF$6539,2,FALSE),0)</f>
        <v>0</v>
      </c>
      <c r="AC408" s="43">
        <f>IFERROR(VLOOKUP(F408,Sheet2!$AG$2:$AH$6539,2,FALSE),0)</f>
        <v>0</v>
      </c>
      <c r="AE408" s="112">
        <v>15</v>
      </c>
      <c r="AF408" s="9">
        <v>0</v>
      </c>
      <c r="AG408" s="9">
        <v>0</v>
      </c>
      <c r="AH408" s="9">
        <v>0</v>
      </c>
      <c r="AI408" s="9">
        <v>0</v>
      </c>
      <c r="AJ408" s="9">
        <f t="shared" si="14"/>
        <v>15</v>
      </c>
      <c r="AK408" s="45">
        <f t="shared" si="15"/>
        <v>168.75</v>
      </c>
      <c r="AL408" s="68">
        <v>0</v>
      </c>
      <c r="AM408" s="68">
        <v>0</v>
      </c>
    </row>
    <row r="409" spans="1:39" x14ac:dyDescent="0.2">
      <c r="A409" s="57" t="s">
        <v>2082</v>
      </c>
      <c r="B409" s="47">
        <v>46173</v>
      </c>
      <c r="C409" s="48"/>
      <c r="D409" s="48" t="s">
        <v>1594</v>
      </c>
      <c r="E409" s="49" t="s">
        <v>837</v>
      </c>
      <c r="F409" s="49" t="s">
        <v>838</v>
      </c>
      <c r="G409" s="47" t="e">
        <v>#N/A</v>
      </c>
      <c r="H409" s="47" t="s">
        <v>94</v>
      </c>
      <c r="I409" s="9" t="s">
        <v>834</v>
      </c>
      <c r="J409" s="40" t="s">
        <v>1720</v>
      </c>
      <c r="K409" s="40" t="s">
        <v>24</v>
      </c>
      <c r="L409" s="40" t="s">
        <v>35</v>
      </c>
      <c r="M409" s="11"/>
      <c r="N409" s="11"/>
      <c r="O409" s="50">
        <v>11.25</v>
      </c>
      <c r="R409" s="9">
        <f>IFERROR(VLOOKUP(E409,Sheet6!$A$2:$B$500,2,FALSE),0)</f>
        <v>0</v>
      </c>
      <c r="S409" s="41">
        <f>IFERROR(VLOOKUP(E409,Sheet6!$C$2:$D$35017,2,FALSE),0)</f>
        <v>0</v>
      </c>
      <c r="U409" s="9">
        <f>IFERROR(VLOOKUP(E409,Sheet2!$AA$1:$AB$975,2,FALSE),0)</f>
        <v>1</v>
      </c>
      <c r="V409" s="41">
        <f>IFERROR(VLOOKUP(E409,Sheet2!$AC$1:$AD$975,2,FALSE),0)</f>
        <v>24.99</v>
      </c>
      <c r="W409" s="42">
        <f>IFERROR(VLOOKUP(E409,Sheet2!$AE$1:$AF$975,2,FALSE),0)</f>
        <v>38</v>
      </c>
      <c r="X409" s="43">
        <f>IFERROR(VLOOKUP(E409,Sheet2!$AG$1:$AH$975,2,FALSE),0)</f>
        <v>0.64439999999999997</v>
      </c>
      <c r="Z409" s="60">
        <f>IFERROR(VLOOKUP(F409,Sheet2!$AA$1:$AB$975,2,FALSE),0)</f>
        <v>5</v>
      </c>
      <c r="AA409" s="64">
        <f>IFERROR(VLOOKUP(F409,Sheet2!$AC$1:$AD$975,2,FALSE),0)</f>
        <v>124.95</v>
      </c>
      <c r="AB409" s="65">
        <f>IFERROR(VLOOKUP(F409,Sheet2!$AE$2:$AF$6539,2,FALSE),0)</f>
        <v>38</v>
      </c>
      <c r="AC409" s="43">
        <f>IFERROR(VLOOKUP(F409,Sheet2!$AG$2:$AH$6539,2,FALSE),0)</f>
        <v>0.64439999999999997</v>
      </c>
      <c r="AE409" s="112">
        <v>6</v>
      </c>
      <c r="AF409" s="9">
        <v>8</v>
      </c>
      <c r="AG409" s="9">
        <v>0</v>
      </c>
      <c r="AH409" s="9">
        <v>0</v>
      </c>
      <c r="AI409" s="9">
        <v>8</v>
      </c>
      <c r="AJ409" s="9">
        <f t="shared" si="14"/>
        <v>14</v>
      </c>
      <c r="AK409" s="45">
        <f t="shared" si="15"/>
        <v>157.5</v>
      </c>
      <c r="AL409" s="68">
        <v>6</v>
      </c>
      <c r="AM409" s="68">
        <v>0</v>
      </c>
    </row>
    <row r="410" spans="1:39" x14ac:dyDescent="0.2">
      <c r="A410" s="57" t="s">
        <v>2082</v>
      </c>
      <c r="B410" s="47">
        <v>46173</v>
      </c>
      <c r="C410" s="108"/>
      <c r="D410" s="48" t="s">
        <v>1595</v>
      </c>
      <c r="E410" s="49" t="s">
        <v>839</v>
      </c>
      <c r="F410" s="49" t="s">
        <v>840</v>
      </c>
      <c r="G410" s="47" t="e">
        <v>#N/A</v>
      </c>
      <c r="H410" s="47" t="s">
        <v>94</v>
      </c>
      <c r="I410" s="9" t="s">
        <v>841</v>
      </c>
      <c r="J410" s="40" t="s">
        <v>860</v>
      </c>
      <c r="K410" s="40" t="s">
        <v>24</v>
      </c>
      <c r="L410" s="40" t="s">
        <v>29</v>
      </c>
      <c r="M410" s="11"/>
      <c r="N410" s="11"/>
      <c r="O410" s="50">
        <v>9</v>
      </c>
      <c r="R410" s="9">
        <f>IFERROR(VLOOKUP(E410,Sheet6!$A$2:$B$500,2,FALSE),0)</f>
        <v>0</v>
      </c>
      <c r="S410" s="41">
        <f>IFERROR(VLOOKUP(E410,Sheet6!$C$2:$D$35017,2,FALSE),0)</f>
        <v>0</v>
      </c>
      <c r="U410" s="9">
        <f>IFERROR(VLOOKUP(E410,Sheet2!$AA$1:$AB$975,2,FALSE),0)</f>
        <v>12</v>
      </c>
      <c r="V410" s="41">
        <f>IFERROR(VLOOKUP(E410,Sheet2!$AC$1:$AD$975,2,FALSE),0)</f>
        <v>239.88</v>
      </c>
      <c r="W410" s="42">
        <f>IFERROR(VLOOKUP(E410,Sheet2!$AE$1:$AF$975,2,FALSE),0)</f>
        <v>187</v>
      </c>
      <c r="X410" s="43">
        <f>IFERROR(VLOOKUP(E410,Sheet2!$AG$1:$AH$975,2,FALSE),0)</f>
        <v>0.56379999999999997</v>
      </c>
      <c r="Z410" s="60">
        <f>IFERROR(VLOOKUP(F410,Sheet2!$AA$1:$AB$975,2,FALSE),0)</f>
        <v>0</v>
      </c>
      <c r="AA410" s="64">
        <f>IFERROR(VLOOKUP(F410,Sheet2!$AC$1:$AD$975,2,FALSE),0)</f>
        <v>0</v>
      </c>
      <c r="AB410" s="65">
        <f>IFERROR(VLOOKUP(F410,Sheet2!$AE$2:$AF$6539,2,FALSE),0)</f>
        <v>0</v>
      </c>
      <c r="AC410" s="43">
        <f>IFERROR(VLOOKUP(F410,Sheet2!$AG$2:$AH$6539,2,FALSE),0)</f>
        <v>0</v>
      </c>
      <c r="AE410" s="112">
        <v>1</v>
      </c>
      <c r="AF410" s="9">
        <v>0</v>
      </c>
      <c r="AG410" s="9">
        <v>0</v>
      </c>
      <c r="AH410" s="9">
        <v>0</v>
      </c>
      <c r="AI410" s="9">
        <v>0</v>
      </c>
      <c r="AJ410" s="9">
        <f t="shared" si="14"/>
        <v>1</v>
      </c>
      <c r="AK410" s="45">
        <f t="shared" si="15"/>
        <v>9</v>
      </c>
      <c r="AL410" s="68">
        <v>0</v>
      </c>
      <c r="AM410" s="68">
        <v>0</v>
      </c>
    </row>
    <row r="411" spans="1:39" x14ac:dyDescent="0.2">
      <c r="A411" s="57" t="s">
        <v>2082</v>
      </c>
      <c r="B411" s="47">
        <v>46173</v>
      </c>
      <c r="C411" s="48"/>
      <c r="D411" s="48" t="s">
        <v>1596</v>
      </c>
      <c r="E411" s="49" t="s">
        <v>842</v>
      </c>
      <c r="F411" s="49" t="s">
        <v>843</v>
      </c>
      <c r="G411" s="47" t="e">
        <v>#N/A</v>
      </c>
      <c r="H411" s="47" t="s">
        <v>94</v>
      </c>
      <c r="I411" s="40" t="s">
        <v>841</v>
      </c>
      <c r="J411" s="40" t="s">
        <v>860</v>
      </c>
      <c r="K411" s="40" t="s">
        <v>24</v>
      </c>
      <c r="L411" s="40" t="s">
        <v>32</v>
      </c>
      <c r="M411" s="11"/>
      <c r="N411" s="11"/>
      <c r="O411" s="50">
        <v>9</v>
      </c>
      <c r="R411" s="9">
        <f>IFERROR(VLOOKUP(E411,Sheet6!$A$2:$B$500,2,FALSE),0)</f>
        <v>0</v>
      </c>
      <c r="S411" s="41">
        <f>IFERROR(VLOOKUP(E411,Sheet6!$C$2:$D$35017,2,FALSE),0)</f>
        <v>0</v>
      </c>
      <c r="U411" s="9">
        <f>IFERROR(VLOOKUP(E411,Sheet2!$AA$1:$AB$975,2,FALSE),0)</f>
        <v>0</v>
      </c>
      <c r="V411" s="41">
        <f>IFERROR(VLOOKUP(E411,Sheet2!$AC$1:$AD$975,2,FALSE),0)</f>
        <v>0</v>
      </c>
      <c r="W411" s="42">
        <f>IFERROR(VLOOKUP(E411,Sheet2!$AE$1:$AF$975,2,FALSE),0)</f>
        <v>0</v>
      </c>
      <c r="X411" s="43">
        <f>IFERROR(VLOOKUP(E411,Sheet2!$AG$1:$AH$975,2,FALSE),0)</f>
        <v>0</v>
      </c>
      <c r="Z411" s="60">
        <f>IFERROR(VLOOKUP(F411,Sheet2!$AA$1:$AB$975,2,FALSE),0)</f>
        <v>7</v>
      </c>
      <c r="AA411" s="64">
        <f>IFERROR(VLOOKUP(F411,Sheet2!$AC$1:$AD$975,2,FALSE),0)</f>
        <v>139.93</v>
      </c>
      <c r="AB411" s="65">
        <f>IFERROR(VLOOKUP(F411,Sheet2!$AE$2:$AF$6539,2,FALSE),0)</f>
        <v>159</v>
      </c>
      <c r="AC411" s="43">
        <f>IFERROR(VLOOKUP(F411,Sheet2!$AG$2:$AH$6539,2,FALSE),0)</f>
        <v>0.314</v>
      </c>
      <c r="AE411" s="112">
        <v>0</v>
      </c>
      <c r="AF411" s="9">
        <v>0</v>
      </c>
      <c r="AG411" s="9">
        <v>5</v>
      </c>
      <c r="AH411" s="9">
        <v>0</v>
      </c>
      <c r="AI411" s="9">
        <v>5</v>
      </c>
      <c r="AJ411" s="9">
        <f t="shared" si="14"/>
        <v>5</v>
      </c>
      <c r="AK411" s="45">
        <f t="shared" si="15"/>
        <v>45</v>
      </c>
      <c r="AL411" s="68">
        <v>24</v>
      </c>
      <c r="AM411" s="68">
        <v>0</v>
      </c>
    </row>
    <row r="412" spans="1:39" x14ac:dyDescent="0.2">
      <c r="A412" s="57" t="s">
        <v>2082</v>
      </c>
      <c r="B412" s="47">
        <v>46173</v>
      </c>
      <c r="C412" s="48"/>
      <c r="D412" s="48" t="s">
        <v>1597</v>
      </c>
      <c r="E412" s="49" t="s">
        <v>844</v>
      </c>
      <c r="F412" s="49" t="s">
        <v>845</v>
      </c>
      <c r="G412" s="47" t="e">
        <v>#N/A</v>
      </c>
      <c r="H412" s="47" t="s">
        <v>94</v>
      </c>
      <c r="I412" s="40" t="s">
        <v>841</v>
      </c>
      <c r="J412" s="40" t="s">
        <v>860</v>
      </c>
      <c r="K412" s="40" t="s">
        <v>24</v>
      </c>
      <c r="L412" s="40" t="s">
        <v>35</v>
      </c>
      <c r="M412" s="11"/>
      <c r="N412" s="11"/>
      <c r="O412" s="50">
        <v>9</v>
      </c>
      <c r="R412" s="9">
        <f>IFERROR(VLOOKUP(E412,Sheet6!$A$2:$B$500,2,FALSE),0)</f>
        <v>0</v>
      </c>
      <c r="S412" s="41">
        <f>IFERROR(VLOOKUP(E412,Sheet6!$C$2:$D$35017,2,FALSE),0)</f>
        <v>0</v>
      </c>
      <c r="U412" s="9">
        <f>IFERROR(VLOOKUP(E412,Sheet2!$AA$1:$AB$975,2,FALSE),0)</f>
        <v>0</v>
      </c>
      <c r="V412" s="41">
        <f>IFERROR(VLOOKUP(E412,Sheet2!$AC$1:$AD$975,2,FALSE),0)</f>
        <v>0</v>
      </c>
      <c r="W412" s="42">
        <f>IFERROR(VLOOKUP(E412,Sheet2!$AE$1:$AF$975,2,FALSE),0)</f>
        <v>0</v>
      </c>
      <c r="X412" s="43">
        <f>IFERROR(VLOOKUP(E412,Sheet2!$AG$1:$AH$975,2,FALSE),0)</f>
        <v>0</v>
      </c>
      <c r="Z412" s="60">
        <f>IFERROR(VLOOKUP(F412,Sheet2!$AA$1:$AB$975,2,FALSE),0)</f>
        <v>1</v>
      </c>
      <c r="AA412" s="64">
        <f>IFERROR(VLOOKUP(F412,Sheet2!$AC$1:$AD$975,2,FALSE),0)</f>
        <v>19.989999999999998</v>
      </c>
      <c r="AB412" s="65">
        <f>IFERROR(VLOOKUP(F412,Sheet2!$AE$2:$AF$6539,2,FALSE),0)</f>
        <v>60</v>
      </c>
      <c r="AC412" s="43">
        <f>IFERROR(VLOOKUP(F412,Sheet2!$AG$2:$AH$6539,2,FALSE),0)</f>
        <v>4.3499999999999997E-2</v>
      </c>
      <c r="AE412" s="112">
        <v>0</v>
      </c>
      <c r="AF412" s="9">
        <v>0</v>
      </c>
      <c r="AG412" s="9">
        <v>30</v>
      </c>
      <c r="AH412" s="9">
        <v>0</v>
      </c>
      <c r="AI412" s="9">
        <v>30</v>
      </c>
      <c r="AJ412" s="9">
        <f t="shared" si="14"/>
        <v>30</v>
      </c>
      <c r="AK412" s="45">
        <f t="shared" si="15"/>
        <v>270</v>
      </c>
      <c r="AL412" s="68">
        <v>0</v>
      </c>
      <c r="AM412" s="68">
        <v>0</v>
      </c>
    </row>
    <row r="413" spans="1:39" x14ac:dyDescent="0.2">
      <c r="A413" s="57" t="s">
        <v>2082</v>
      </c>
      <c r="B413" s="47">
        <v>46173</v>
      </c>
      <c r="C413" s="108"/>
      <c r="D413" s="48" t="s">
        <v>1598</v>
      </c>
      <c r="E413" s="49" t="s">
        <v>846</v>
      </c>
      <c r="F413" s="49" t="s">
        <v>847</v>
      </c>
      <c r="G413" s="47" t="e">
        <v>#N/A</v>
      </c>
      <c r="H413" s="47" t="s">
        <v>94</v>
      </c>
      <c r="I413" s="40" t="s">
        <v>841</v>
      </c>
      <c r="J413" s="40" t="s">
        <v>860</v>
      </c>
      <c r="K413" s="40" t="s">
        <v>41</v>
      </c>
      <c r="L413" s="40" t="s">
        <v>29</v>
      </c>
      <c r="M413" s="11"/>
      <c r="N413" s="11"/>
      <c r="O413" s="50">
        <v>9</v>
      </c>
      <c r="R413" s="9">
        <f>IFERROR(VLOOKUP(E413,Sheet6!$A$2:$B$500,2,FALSE),0)</f>
        <v>2</v>
      </c>
      <c r="S413" s="41">
        <f>IFERROR(VLOOKUP(E413,Sheet6!$C$2:$D$35017,2,FALSE),0)</f>
        <v>40</v>
      </c>
      <c r="U413" s="9">
        <f>IFERROR(VLOOKUP(E413,Sheet2!$AA$1:$AB$975,2,FALSE),0)</f>
        <v>11</v>
      </c>
      <c r="V413" s="41">
        <f>IFERROR(VLOOKUP(E413,Sheet2!$AC$1:$AD$975,2,FALSE),0)</f>
        <v>219.89</v>
      </c>
      <c r="W413" s="42">
        <f>IFERROR(VLOOKUP(E413,Sheet2!$AE$1:$AF$975,2,FALSE),0)</f>
        <v>63</v>
      </c>
      <c r="X413" s="43">
        <f>IFERROR(VLOOKUP(E413,Sheet2!$AG$1:$AH$975,2,FALSE),0)</f>
        <v>0.72370000000000001</v>
      </c>
      <c r="Z413" s="60">
        <f>IFERROR(VLOOKUP(F413,Sheet2!$AA$1:$AB$975,2,FALSE),0)</f>
        <v>0</v>
      </c>
      <c r="AA413" s="64">
        <f>IFERROR(VLOOKUP(F413,Sheet2!$AC$1:$AD$975,2,FALSE),0)</f>
        <v>0</v>
      </c>
      <c r="AB413" s="65">
        <f>IFERROR(VLOOKUP(F413,Sheet2!$AE$2:$AF$6539,2,FALSE),0)</f>
        <v>0</v>
      </c>
      <c r="AC413" s="43">
        <f>IFERROR(VLOOKUP(F413,Sheet2!$AG$2:$AH$6539,2,FALSE),0)</f>
        <v>0</v>
      </c>
      <c r="AE413" s="112">
        <v>56</v>
      </c>
      <c r="AF413" s="9">
        <v>0</v>
      </c>
      <c r="AG413" s="9">
        <v>0</v>
      </c>
      <c r="AH413" s="9">
        <v>0</v>
      </c>
      <c r="AI413" s="9">
        <v>0</v>
      </c>
      <c r="AJ413" s="9">
        <f t="shared" si="14"/>
        <v>56</v>
      </c>
      <c r="AK413" s="45">
        <f t="shared" si="15"/>
        <v>504</v>
      </c>
      <c r="AL413" s="68">
        <v>0</v>
      </c>
      <c r="AM413" s="68">
        <v>0</v>
      </c>
    </row>
    <row r="414" spans="1:39" x14ac:dyDescent="0.2">
      <c r="A414" s="57" t="s">
        <v>2082</v>
      </c>
      <c r="B414" s="47">
        <v>46173</v>
      </c>
      <c r="C414" s="48"/>
      <c r="D414" s="48" t="s">
        <v>1599</v>
      </c>
      <c r="E414" s="49" t="s">
        <v>848</v>
      </c>
      <c r="F414" s="49" t="s">
        <v>849</v>
      </c>
      <c r="G414" s="47" t="e">
        <v>#N/A</v>
      </c>
      <c r="H414" s="47" t="s">
        <v>94</v>
      </c>
      <c r="I414" s="40" t="s">
        <v>841</v>
      </c>
      <c r="J414" s="40" t="s">
        <v>860</v>
      </c>
      <c r="K414" s="40" t="s">
        <v>41</v>
      </c>
      <c r="L414" s="40" t="s">
        <v>32</v>
      </c>
      <c r="M414" s="11"/>
      <c r="N414" s="11"/>
      <c r="O414" s="50">
        <v>9</v>
      </c>
      <c r="R414" s="9">
        <f>IFERROR(VLOOKUP(E414,Sheet6!$A$2:$B$500,2,FALSE),0)</f>
        <v>0</v>
      </c>
      <c r="S414" s="41">
        <f>IFERROR(VLOOKUP(E414,Sheet6!$C$2:$D$35017,2,FALSE),0)</f>
        <v>0</v>
      </c>
      <c r="U414" s="9">
        <f>IFERROR(VLOOKUP(E414,Sheet2!$AA$1:$AB$975,2,FALSE),0)</f>
        <v>0</v>
      </c>
      <c r="V414" s="41">
        <f>IFERROR(VLOOKUP(E414,Sheet2!$AC$1:$AD$975,2,FALSE),0)</f>
        <v>0</v>
      </c>
      <c r="W414" s="42">
        <f>IFERROR(VLOOKUP(E414,Sheet2!$AE$1:$AF$975,2,FALSE),0)</f>
        <v>0</v>
      </c>
      <c r="X414" s="43">
        <f>IFERROR(VLOOKUP(E414,Sheet2!$AG$1:$AH$975,2,FALSE),0)</f>
        <v>0</v>
      </c>
      <c r="Z414" s="60">
        <f>IFERROR(VLOOKUP(F414,Sheet2!$AA$1:$AB$975,2,FALSE),0)</f>
        <v>16</v>
      </c>
      <c r="AA414" s="64">
        <f>IFERROR(VLOOKUP(F414,Sheet2!$AC$1:$AD$975,2,FALSE),0)</f>
        <v>319.83999999999997</v>
      </c>
      <c r="AB414" s="65">
        <f>IFERROR(VLOOKUP(F414,Sheet2!$AE$2:$AF$6539,2,FALSE),0)</f>
        <v>182</v>
      </c>
      <c r="AC414" s="43">
        <f>IFERROR(VLOOKUP(F414,Sheet2!$AG$2:$AH$6539,2,FALSE),0)</f>
        <v>0.45900000000000002</v>
      </c>
      <c r="AE414" s="112">
        <v>0</v>
      </c>
      <c r="AF414" s="9">
        <v>14</v>
      </c>
      <c r="AG414" s="9">
        <v>0</v>
      </c>
      <c r="AH414" s="9">
        <v>1</v>
      </c>
      <c r="AI414" s="9">
        <v>15</v>
      </c>
      <c r="AJ414" s="9">
        <f t="shared" si="14"/>
        <v>15</v>
      </c>
      <c r="AK414" s="45">
        <f t="shared" si="15"/>
        <v>135</v>
      </c>
      <c r="AL414" s="68">
        <v>0</v>
      </c>
      <c r="AM414" s="68">
        <v>0</v>
      </c>
    </row>
    <row r="415" spans="1:39" x14ac:dyDescent="0.2">
      <c r="A415" s="57" t="s">
        <v>2082</v>
      </c>
      <c r="B415" s="47">
        <v>46173</v>
      </c>
      <c r="C415" s="48"/>
      <c r="D415" s="48" t="s">
        <v>1600</v>
      </c>
      <c r="E415" s="49" t="s">
        <v>850</v>
      </c>
      <c r="F415" s="49" t="s">
        <v>851</v>
      </c>
      <c r="G415" s="47" t="e">
        <v>#N/A</v>
      </c>
      <c r="H415" s="47" t="s">
        <v>22</v>
      </c>
      <c r="I415" s="40" t="s">
        <v>852</v>
      </c>
      <c r="J415" s="40" t="s">
        <v>1116</v>
      </c>
      <c r="K415" s="40" t="s">
        <v>24</v>
      </c>
      <c r="L415" s="40" t="s">
        <v>29</v>
      </c>
      <c r="M415" s="11"/>
      <c r="N415" s="11"/>
      <c r="O415" s="50">
        <v>8.1</v>
      </c>
      <c r="R415" s="9">
        <f>IFERROR(VLOOKUP(E415,Sheet6!$A$2:$B$500,2,FALSE),0)</f>
        <v>2</v>
      </c>
      <c r="S415" s="41">
        <f>IFERROR(VLOOKUP(E415,Sheet6!$C$2:$D$35017,2,FALSE),0)</f>
        <v>30.6</v>
      </c>
      <c r="U415" s="9">
        <f>IFERROR(VLOOKUP(E415,Sheet2!$AA$1:$AB$975,2,FALSE),0)</f>
        <v>11</v>
      </c>
      <c r="V415" s="41">
        <f>IFERROR(VLOOKUP(E415,Sheet2!$AC$1:$AD$975,2,FALSE),0)</f>
        <v>198</v>
      </c>
      <c r="W415" s="42">
        <f>IFERROR(VLOOKUP(E415,Sheet2!$AE$1:$AF$975,2,FALSE),0)</f>
        <v>177</v>
      </c>
      <c r="X415" s="43">
        <f>IFERROR(VLOOKUP(E415,Sheet2!$AG$1:$AH$975,2,FALSE),0)</f>
        <v>1</v>
      </c>
      <c r="Z415" s="60">
        <f>IFERROR(VLOOKUP(F415,Sheet2!$AA$1:$AB$975,2,FALSE),0)</f>
        <v>0</v>
      </c>
      <c r="AA415" s="64">
        <f>IFERROR(VLOOKUP(F415,Sheet2!$AC$1:$AD$975,2,FALSE),0)</f>
        <v>0</v>
      </c>
      <c r="AB415" s="65">
        <f>IFERROR(VLOOKUP(F415,Sheet2!$AE$2:$AF$6539,2,FALSE),0)</f>
        <v>0</v>
      </c>
      <c r="AC415" s="43">
        <f>IFERROR(VLOOKUP(F415,Sheet2!$AG$2:$AH$6539,2,FALSE),0)</f>
        <v>0</v>
      </c>
      <c r="AE415" s="112">
        <v>33</v>
      </c>
      <c r="AF415" s="9">
        <v>0</v>
      </c>
      <c r="AG415" s="9">
        <v>0</v>
      </c>
      <c r="AH415" s="9">
        <v>0</v>
      </c>
      <c r="AI415" s="9">
        <v>0</v>
      </c>
      <c r="AJ415" s="9">
        <f t="shared" si="14"/>
        <v>33</v>
      </c>
      <c r="AK415" s="45">
        <f t="shared" si="15"/>
        <v>267.3</v>
      </c>
      <c r="AL415" s="68">
        <v>0</v>
      </c>
      <c r="AM415" s="68">
        <v>0</v>
      </c>
    </row>
    <row r="416" spans="1:39" x14ac:dyDescent="0.2">
      <c r="A416" s="57" t="s">
        <v>2082</v>
      </c>
      <c r="B416" s="47">
        <v>46173</v>
      </c>
      <c r="C416" s="48"/>
      <c r="D416" s="48" t="s">
        <v>1601</v>
      </c>
      <c r="E416" s="49" t="s">
        <v>853</v>
      </c>
      <c r="F416" s="49" t="s">
        <v>854</v>
      </c>
      <c r="G416" s="47" t="e">
        <v>#N/A</v>
      </c>
      <c r="H416" s="47" t="s">
        <v>22</v>
      </c>
      <c r="I416" s="40" t="s">
        <v>852</v>
      </c>
      <c r="J416" s="40" t="s">
        <v>1116</v>
      </c>
      <c r="K416" s="40" t="s">
        <v>24</v>
      </c>
      <c r="L416" s="40" t="s">
        <v>32</v>
      </c>
      <c r="M416" s="11"/>
      <c r="N416" s="11"/>
      <c r="O416" s="50">
        <v>8.1</v>
      </c>
      <c r="R416" s="9">
        <f>IFERROR(VLOOKUP(E416,Sheet6!$A$2:$B$500,2,FALSE),0)</f>
        <v>0</v>
      </c>
      <c r="S416" s="41">
        <f>IFERROR(VLOOKUP(E416,Sheet6!$C$2:$D$35017,2,FALSE),0)</f>
        <v>0</v>
      </c>
      <c r="U416" s="9">
        <f>IFERROR(VLOOKUP(E416,Sheet2!$AA$1:$AB$975,2,FALSE),0)</f>
        <v>0</v>
      </c>
      <c r="V416" s="41">
        <f>IFERROR(VLOOKUP(E416,Sheet2!$AC$1:$AD$975,2,FALSE),0)</f>
        <v>0</v>
      </c>
      <c r="W416" s="42">
        <f>IFERROR(VLOOKUP(E416,Sheet2!$AE$1:$AF$975,2,FALSE),0)</f>
        <v>0</v>
      </c>
      <c r="X416" s="43">
        <f>IFERROR(VLOOKUP(E416,Sheet2!$AG$1:$AH$975,2,FALSE),0)</f>
        <v>0</v>
      </c>
      <c r="Z416" s="60">
        <f>IFERROR(VLOOKUP(F416,Sheet2!$AA$1:$AB$975,2,FALSE),0)</f>
        <v>4</v>
      </c>
      <c r="AA416" s="64">
        <f>IFERROR(VLOOKUP(F416,Sheet2!$AC$1:$AD$975,2,FALSE),0)</f>
        <v>72</v>
      </c>
      <c r="AB416" s="65">
        <f>IFERROR(VLOOKUP(F416,Sheet2!$AE$2:$AF$6539,2,FALSE),0)</f>
        <v>40</v>
      </c>
      <c r="AC416" s="43">
        <f>IFERROR(VLOOKUP(F416,Sheet2!$AG$2:$AH$6539,2,FALSE),0)</f>
        <v>1</v>
      </c>
      <c r="AE416" s="112">
        <v>66</v>
      </c>
      <c r="AF416" s="9">
        <v>0</v>
      </c>
      <c r="AG416" s="9">
        <v>0</v>
      </c>
      <c r="AH416" s="9">
        <v>2</v>
      </c>
      <c r="AI416" s="9">
        <v>2</v>
      </c>
      <c r="AJ416" s="9">
        <f t="shared" si="14"/>
        <v>68</v>
      </c>
      <c r="AK416" s="45">
        <f t="shared" si="15"/>
        <v>550.79999999999995</v>
      </c>
      <c r="AL416" s="68">
        <v>6</v>
      </c>
      <c r="AM416" s="68">
        <v>0</v>
      </c>
    </row>
    <row r="417" spans="1:39" x14ac:dyDescent="0.2">
      <c r="A417" s="57" t="s">
        <v>2082</v>
      </c>
      <c r="B417" s="47">
        <v>46173</v>
      </c>
      <c r="C417" s="48"/>
      <c r="D417" s="48" t="s">
        <v>1602</v>
      </c>
      <c r="E417" s="49" t="s">
        <v>855</v>
      </c>
      <c r="F417" s="49" t="s">
        <v>2024</v>
      </c>
      <c r="G417" s="47" t="e">
        <v>#N/A</v>
      </c>
      <c r="H417" s="47" t="s">
        <v>22</v>
      </c>
      <c r="I417" s="40" t="s">
        <v>852</v>
      </c>
      <c r="J417" s="40" t="s">
        <v>1116</v>
      </c>
      <c r="K417" s="40" t="s">
        <v>24</v>
      </c>
      <c r="L417" s="40" t="s">
        <v>35</v>
      </c>
      <c r="M417" s="11"/>
      <c r="N417" s="11"/>
      <c r="O417" s="50">
        <v>8.1</v>
      </c>
      <c r="R417" s="9">
        <f>IFERROR(VLOOKUP(E417,Sheet6!$A$2:$B$500,2,FALSE),0)</f>
        <v>0</v>
      </c>
      <c r="S417" s="41">
        <f>IFERROR(VLOOKUP(E417,Sheet6!$C$2:$D$35017,2,FALSE),0)</f>
        <v>0</v>
      </c>
      <c r="U417" s="9">
        <f>IFERROR(VLOOKUP(E417,Sheet2!$AA$1:$AB$975,2,FALSE),0)</f>
        <v>0</v>
      </c>
      <c r="V417" s="41">
        <f>IFERROR(VLOOKUP(E417,Sheet2!$AC$1:$AD$975,2,FALSE),0)</f>
        <v>0</v>
      </c>
      <c r="W417" s="42">
        <f>IFERROR(VLOOKUP(E417,Sheet2!$AE$1:$AF$975,2,FALSE),0)</f>
        <v>0</v>
      </c>
      <c r="X417" s="43">
        <f>IFERROR(VLOOKUP(E417,Sheet2!$AG$1:$AH$975,2,FALSE),0)</f>
        <v>0</v>
      </c>
      <c r="Z417" s="60">
        <f>IFERROR(VLOOKUP(F417,Sheet2!$AA$1:$AB$975,2,FALSE),0)</f>
        <v>2</v>
      </c>
      <c r="AA417" s="64">
        <f>IFERROR(VLOOKUP(F417,Sheet2!$AC$1:$AD$975,2,FALSE),0)</f>
        <v>36</v>
      </c>
      <c r="AB417" s="65">
        <f>IFERROR(VLOOKUP(F417,Sheet2!$AE$2:$AF$6539,2,FALSE),0)</f>
        <v>11</v>
      </c>
      <c r="AC417" s="43">
        <f>IFERROR(VLOOKUP(F417,Sheet2!$AG$2:$AH$6539,2,FALSE),0)</f>
        <v>1</v>
      </c>
      <c r="AE417" s="112">
        <v>0</v>
      </c>
      <c r="AF417" s="9">
        <v>0</v>
      </c>
      <c r="AG417" s="9">
        <v>24</v>
      </c>
      <c r="AH417" s="9">
        <v>0</v>
      </c>
      <c r="AI417" s="9">
        <v>24</v>
      </c>
      <c r="AJ417" s="9">
        <f t="shared" si="14"/>
        <v>24</v>
      </c>
      <c r="AK417" s="45">
        <f t="shared" si="15"/>
        <v>194.39999999999998</v>
      </c>
      <c r="AL417" s="68">
        <v>0</v>
      </c>
      <c r="AM417" s="68">
        <v>0</v>
      </c>
    </row>
    <row r="418" spans="1:39" x14ac:dyDescent="0.2">
      <c r="A418" s="57" t="s">
        <v>2082</v>
      </c>
      <c r="B418" s="47">
        <v>46173</v>
      </c>
      <c r="C418" s="48"/>
      <c r="D418" s="48" t="s">
        <v>1603</v>
      </c>
      <c r="E418" s="49" t="s">
        <v>856</v>
      </c>
      <c r="F418" s="49" t="s">
        <v>857</v>
      </c>
      <c r="G418" s="47" t="e">
        <v>#N/A</v>
      </c>
      <c r="H418" s="47" t="s">
        <v>22</v>
      </c>
      <c r="I418" s="9" t="s">
        <v>852</v>
      </c>
      <c r="J418" s="40" t="s">
        <v>1116</v>
      </c>
      <c r="K418" s="9" t="s">
        <v>195</v>
      </c>
      <c r="L418" s="9" t="s">
        <v>32</v>
      </c>
      <c r="M418" s="11"/>
      <c r="N418" s="11"/>
      <c r="O418" s="50">
        <v>8.1</v>
      </c>
      <c r="R418" s="9">
        <f>IFERROR(VLOOKUP(E418,Sheet6!$A$2:$B$500,2,FALSE),0)</f>
        <v>0</v>
      </c>
      <c r="S418" s="41">
        <f>IFERROR(VLOOKUP(E418,Sheet6!$C$2:$D$35017,2,FALSE),0)</f>
        <v>0</v>
      </c>
      <c r="U418" s="9">
        <f>IFERROR(VLOOKUP(E418,Sheet2!$AA$1:$AB$975,2,FALSE),0)</f>
        <v>0</v>
      </c>
      <c r="V418" s="41">
        <f>IFERROR(VLOOKUP(E418,Sheet2!$AC$1:$AD$975,2,FALSE),0)</f>
        <v>0</v>
      </c>
      <c r="W418" s="42">
        <f>IFERROR(VLOOKUP(E418,Sheet2!$AE$1:$AF$975,2,FALSE),0)</f>
        <v>0</v>
      </c>
      <c r="X418" s="43">
        <f>IFERROR(VLOOKUP(E418,Sheet2!$AG$1:$AH$975,2,FALSE),0)</f>
        <v>0</v>
      </c>
      <c r="Z418" s="60">
        <f>IFERROR(VLOOKUP(F418,Sheet2!$AA$1:$AB$975,2,FALSE),0)</f>
        <v>3</v>
      </c>
      <c r="AA418" s="64">
        <f>IFERROR(VLOOKUP(F418,Sheet2!$AC$1:$AD$975,2,FALSE),0)</f>
        <v>54</v>
      </c>
      <c r="AB418" s="65">
        <f>IFERROR(VLOOKUP(F418,Sheet2!$AE$2:$AF$6539,2,FALSE),0)</f>
        <v>38</v>
      </c>
      <c r="AC418" s="43">
        <f>IFERROR(VLOOKUP(F418,Sheet2!$AG$2:$AH$6539,2,FALSE),0)</f>
        <v>1</v>
      </c>
      <c r="AE418" s="112">
        <v>0</v>
      </c>
      <c r="AF418" s="9">
        <v>7</v>
      </c>
      <c r="AG418" s="9">
        <v>0</v>
      </c>
      <c r="AH418" s="9">
        <v>0</v>
      </c>
      <c r="AI418" s="9">
        <v>7</v>
      </c>
      <c r="AJ418" s="9">
        <f t="shared" si="14"/>
        <v>7</v>
      </c>
      <c r="AK418" s="45">
        <f t="shared" si="15"/>
        <v>56.699999999999996</v>
      </c>
      <c r="AL418" s="68">
        <v>0</v>
      </c>
      <c r="AM418" s="68">
        <v>0</v>
      </c>
    </row>
    <row r="419" spans="1:39" x14ac:dyDescent="0.2">
      <c r="A419" s="57" t="s">
        <v>2082</v>
      </c>
      <c r="B419" s="47">
        <v>46173</v>
      </c>
      <c r="C419" s="48"/>
      <c r="D419" s="48" t="s">
        <v>1604</v>
      </c>
      <c r="E419" s="49" t="s">
        <v>858</v>
      </c>
      <c r="F419" s="49" t="s">
        <v>859</v>
      </c>
      <c r="G419" s="47" t="e">
        <v>#N/A</v>
      </c>
      <c r="H419" s="47" t="s">
        <v>22</v>
      </c>
      <c r="I419" s="40" t="s">
        <v>852</v>
      </c>
      <c r="J419" s="40" t="s">
        <v>1116</v>
      </c>
      <c r="K419" s="40" t="s">
        <v>41</v>
      </c>
      <c r="L419" s="9" t="s">
        <v>29</v>
      </c>
      <c r="M419" s="11"/>
      <c r="N419" s="11"/>
      <c r="O419" s="50">
        <v>8.1</v>
      </c>
      <c r="R419" s="9">
        <f>IFERROR(VLOOKUP(E419,Sheet6!$A$2:$B$500,2,FALSE),0)</f>
        <v>0</v>
      </c>
      <c r="S419" s="41">
        <f>IFERROR(VLOOKUP(E419,Sheet6!$C$2:$D$35017,2,FALSE),0)</f>
        <v>0</v>
      </c>
      <c r="U419" s="9">
        <f>IFERROR(VLOOKUP(E419,Sheet2!$AA$1:$AB$975,2,FALSE),0)</f>
        <v>0</v>
      </c>
      <c r="V419" s="41">
        <f>IFERROR(VLOOKUP(E419,Sheet2!$AC$1:$AD$975,2,FALSE),0)</f>
        <v>0</v>
      </c>
      <c r="W419" s="42">
        <f>IFERROR(VLOOKUP(E419,Sheet2!$AE$1:$AF$975,2,FALSE),0)</f>
        <v>0</v>
      </c>
      <c r="X419" s="43">
        <f>IFERROR(VLOOKUP(E419,Sheet2!$AG$1:$AH$975,2,FALSE),0)</f>
        <v>0</v>
      </c>
      <c r="Z419" s="60">
        <f>IFERROR(VLOOKUP(F419,Sheet2!$AA$1:$AB$975,2,FALSE),0)</f>
        <v>8</v>
      </c>
      <c r="AA419" s="64">
        <f>IFERROR(VLOOKUP(F419,Sheet2!$AC$1:$AD$975,2,FALSE),0)</f>
        <v>144</v>
      </c>
      <c r="AB419" s="65">
        <f>IFERROR(VLOOKUP(F419,Sheet2!$AE$2:$AF$6539,2,FALSE),0)</f>
        <v>38</v>
      </c>
      <c r="AC419" s="43">
        <f>IFERROR(VLOOKUP(F419,Sheet2!$AG$2:$AH$6539,2,FALSE),0)</f>
        <v>1</v>
      </c>
      <c r="AE419" s="112">
        <v>7</v>
      </c>
      <c r="AF419" s="9">
        <v>0</v>
      </c>
      <c r="AG419" s="9">
        <v>0</v>
      </c>
      <c r="AH419" s="9">
        <v>0</v>
      </c>
      <c r="AI419" s="9">
        <v>0</v>
      </c>
      <c r="AJ419" s="9">
        <f t="shared" si="14"/>
        <v>7</v>
      </c>
      <c r="AK419" s="45">
        <f t="shared" si="15"/>
        <v>56.699999999999996</v>
      </c>
      <c r="AL419" s="68">
        <v>6</v>
      </c>
      <c r="AM419" s="68">
        <v>0</v>
      </c>
    </row>
    <row r="420" spans="1:39" x14ac:dyDescent="0.2">
      <c r="A420" s="57" t="s">
        <v>2082</v>
      </c>
      <c r="B420" s="47">
        <v>46173</v>
      </c>
      <c r="C420" s="48"/>
      <c r="D420" s="48" t="s">
        <v>1605</v>
      </c>
      <c r="E420" s="49" t="s">
        <v>861</v>
      </c>
      <c r="F420" s="49" t="s">
        <v>862</v>
      </c>
      <c r="G420" s="47" t="e">
        <v>#N/A</v>
      </c>
      <c r="H420" s="47" t="s">
        <v>94</v>
      </c>
      <c r="I420" s="40" t="s">
        <v>852</v>
      </c>
      <c r="J420" s="40" t="s">
        <v>1116</v>
      </c>
      <c r="K420" s="40" t="s">
        <v>41</v>
      </c>
      <c r="L420" s="40" t="s">
        <v>32</v>
      </c>
      <c r="M420" s="11"/>
      <c r="N420" s="11"/>
      <c r="O420" s="50">
        <v>8.1</v>
      </c>
      <c r="R420" s="9">
        <f>IFERROR(VLOOKUP(E420,Sheet6!$A$2:$B$500,2,FALSE),0)</f>
        <v>0</v>
      </c>
      <c r="S420" s="41">
        <f>IFERROR(VLOOKUP(E420,Sheet6!$C$2:$D$35017,2,FALSE),0)</f>
        <v>0</v>
      </c>
      <c r="U420" s="9">
        <f>IFERROR(VLOOKUP(E420,Sheet2!$AA$1:$AB$975,2,FALSE),0)</f>
        <v>11</v>
      </c>
      <c r="V420" s="41">
        <f>IFERROR(VLOOKUP(E420,Sheet2!$AC$1:$AD$975,2,FALSE),0)</f>
        <v>198</v>
      </c>
      <c r="W420" s="42">
        <f>IFERROR(VLOOKUP(E420,Sheet2!$AE$1:$AF$975,2,FALSE),0)</f>
        <v>112</v>
      </c>
      <c r="X420" s="43">
        <f>IFERROR(VLOOKUP(E420,Sheet2!$AG$1:$AH$975,2,FALSE),0)</f>
        <v>1</v>
      </c>
      <c r="Z420" s="60">
        <f>IFERROR(VLOOKUP(F420,Sheet2!$AA$1:$AB$975,2,FALSE),0)</f>
        <v>0</v>
      </c>
      <c r="AA420" s="64">
        <f>IFERROR(VLOOKUP(F420,Sheet2!$AC$1:$AD$975,2,FALSE),0)</f>
        <v>0</v>
      </c>
      <c r="AB420" s="65">
        <f>IFERROR(VLOOKUP(F420,Sheet2!$AE$2:$AF$6539,2,FALSE),0)</f>
        <v>0</v>
      </c>
      <c r="AC420" s="43">
        <f>IFERROR(VLOOKUP(F420,Sheet2!$AG$2:$AH$6539,2,FALSE),0)</f>
        <v>0</v>
      </c>
      <c r="AE420" s="112">
        <v>0</v>
      </c>
      <c r="AF420" s="9">
        <v>0</v>
      </c>
      <c r="AG420" s="9">
        <v>6</v>
      </c>
      <c r="AH420" s="9">
        <v>0</v>
      </c>
      <c r="AI420" s="9">
        <v>6</v>
      </c>
      <c r="AJ420" s="9">
        <f t="shared" si="14"/>
        <v>6</v>
      </c>
      <c r="AK420" s="45">
        <f t="shared" si="15"/>
        <v>48.599999999999994</v>
      </c>
      <c r="AL420" s="68">
        <v>0</v>
      </c>
      <c r="AM420" s="68">
        <v>0</v>
      </c>
    </row>
    <row r="421" spans="1:39" x14ac:dyDescent="0.2">
      <c r="A421" s="57" t="s">
        <v>2082</v>
      </c>
      <c r="B421" s="47">
        <v>46173</v>
      </c>
      <c r="C421" s="108"/>
      <c r="D421" s="48" t="s">
        <v>1606</v>
      </c>
      <c r="E421" s="49" t="s">
        <v>863</v>
      </c>
      <c r="F421" s="49" t="s">
        <v>864</v>
      </c>
      <c r="G421" s="47" t="e">
        <v>#N/A</v>
      </c>
      <c r="H421" s="47" t="s">
        <v>94</v>
      </c>
      <c r="I421" s="9" t="s">
        <v>865</v>
      </c>
      <c r="J421" s="40" t="s">
        <v>1669</v>
      </c>
      <c r="K421" s="9" t="s">
        <v>189</v>
      </c>
      <c r="L421" s="9" t="s">
        <v>32</v>
      </c>
      <c r="M421" s="11"/>
      <c r="N421" s="11"/>
      <c r="O421" s="50">
        <v>11.25</v>
      </c>
      <c r="R421" s="9">
        <f>IFERROR(VLOOKUP(E421,Sheet6!$A$2:$B$500,2,FALSE),0)</f>
        <v>0</v>
      </c>
      <c r="S421" s="41">
        <f>IFERROR(VLOOKUP(E421,Sheet6!$C$2:$D$35017,2,FALSE),0)</f>
        <v>0</v>
      </c>
      <c r="U421" s="9">
        <f>IFERROR(VLOOKUP(E421,Sheet2!$AA$1:$AB$975,2,FALSE),0)</f>
        <v>0</v>
      </c>
      <c r="V421" s="41">
        <f>IFERROR(VLOOKUP(E421,Sheet2!$AC$1:$AD$975,2,FALSE),0)</f>
        <v>0</v>
      </c>
      <c r="W421" s="42">
        <f>IFERROR(VLOOKUP(E421,Sheet2!$AE$1:$AF$975,2,FALSE),0)</f>
        <v>0</v>
      </c>
      <c r="X421" s="43">
        <f>IFERROR(VLOOKUP(E421,Sheet2!$AG$1:$AH$975,2,FALSE),0)</f>
        <v>0</v>
      </c>
      <c r="Z421" s="60">
        <f>IFERROR(VLOOKUP(F421,Sheet2!$AA$1:$AB$975,2,FALSE),0)</f>
        <v>0</v>
      </c>
      <c r="AA421" s="64">
        <f>IFERROR(VLOOKUP(F421,Sheet2!$AC$1:$AD$975,2,FALSE),0)</f>
        <v>0</v>
      </c>
      <c r="AB421" s="65">
        <f>IFERROR(VLOOKUP(F421,Sheet2!$AE$2:$AF$6539,2,FALSE),0)</f>
        <v>0</v>
      </c>
      <c r="AC421" s="43">
        <f>IFERROR(VLOOKUP(F421,Sheet2!$AG$2:$AH$6539,2,FALSE),0)</f>
        <v>0</v>
      </c>
      <c r="AE421" s="112">
        <v>0</v>
      </c>
      <c r="AF421" s="9">
        <v>0</v>
      </c>
      <c r="AG421" s="9">
        <v>0</v>
      </c>
      <c r="AH421" s="9">
        <v>0</v>
      </c>
      <c r="AI421" s="9">
        <v>0</v>
      </c>
      <c r="AJ421" s="9">
        <f t="shared" si="14"/>
        <v>0</v>
      </c>
      <c r="AK421" s="45">
        <f t="shared" si="15"/>
        <v>0</v>
      </c>
      <c r="AL421" s="68">
        <v>0</v>
      </c>
      <c r="AM421" s="68">
        <v>0</v>
      </c>
    </row>
    <row r="422" spans="1:39" x14ac:dyDescent="0.2">
      <c r="A422" s="57" t="s">
        <v>2082</v>
      </c>
      <c r="B422" s="47">
        <v>46173</v>
      </c>
      <c r="C422" s="108"/>
      <c r="D422" s="48" t="s">
        <v>1607</v>
      </c>
      <c r="E422" s="49" t="s">
        <v>866</v>
      </c>
      <c r="F422" s="49" t="s">
        <v>867</v>
      </c>
      <c r="G422" s="47" t="e">
        <v>#N/A</v>
      </c>
      <c r="H422" s="47" t="s">
        <v>94</v>
      </c>
      <c r="I422" s="40" t="s">
        <v>868</v>
      </c>
      <c r="J422" s="40" t="s">
        <v>1722</v>
      </c>
      <c r="K422" s="40" t="s">
        <v>41</v>
      </c>
      <c r="L422" s="40" t="s">
        <v>29</v>
      </c>
      <c r="M422" s="11"/>
      <c r="N422" s="11"/>
      <c r="O422" s="50">
        <v>9</v>
      </c>
      <c r="R422" s="9">
        <f>IFERROR(VLOOKUP(E422,Sheet6!$A$2:$B$500,2,FALSE),0)</f>
        <v>1</v>
      </c>
      <c r="S422" s="41">
        <f>IFERROR(VLOOKUP(E422,Sheet6!$C$2:$D$35017,2,FALSE),0)</f>
        <v>20</v>
      </c>
      <c r="U422" s="9">
        <f>IFERROR(VLOOKUP(E422,Sheet2!$AA$1:$AB$975,2,FALSE),0)</f>
        <v>0</v>
      </c>
      <c r="V422" s="41">
        <f>IFERROR(VLOOKUP(E422,Sheet2!$AC$1:$AD$975,2,FALSE),0)</f>
        <v>0</v>
      </c>
      <c r="W422" s="42">
        <f>IFERROR(VLOOKUP(E422,Sheet2!$AE$1:$AF$975,2,FALSE),0)</f>
        <v>0</v>
      </c>
      <c r="X422" s="43">
        <f>IFERROR(VLOOKUP(E422,Sheet2!$AG$1:$AH$975,2,FALSE),0)</f>
        <v>0</v>
      </c>
      <c r="Z422" s="60">
        <f>IFERROR(VLOOKUP(F422,Sheet2!$AA$1:$AB$975,2,FALSE),0)</f>
        <v>0</v>
      </c>
      <c r="AA422" s="64">
        <f>IFERROR(VLOOKUP(F422,Sheet2!$AC$1:$AD$975,2,FALSE),0)</f>
        <v>0</v>
      </c>
      <c r="AB422" s="65">
        <f>IFERROR(VLOOKUP(F422,Sheet2!$AE$2:$AF$6539,2,FALSE),0)</f>
        <v>0</v>
      </c>
      <c r="AC422" s="43">
        <f>IFERROR(VLOOKUP(F422,Sheet2!$AG$2:$AH$6539,2,FALSE),0)</f>
        <v>0</v>
      </c>
      <c r="AE422" s="112">
        <v>277</v>
      </c>
      <c r="AF422" s="9">
        <v>0</v>
      </c>
      <c r="AG422" s="9">
        <v>0</v>
      </c>
      <c r="AH422" s="9">
        <v>0</v>
      </c>
      <c r="AI422" s="9">
        <v>0</v>
      </c>
      <c r="AJ422" s="9">
        <f t="shared" si="14"/>
        <v>277</v>
      </c>
      <c r="AK422" s="45">
        <f t="shared" si="15"/>
        <v>2493</v>
      </c>
      <c r="AL422" s="68">
        <v>0</v>
      </c>
      <c r="AM422" s="68">
        <v>0</v>
      </c>
    </row>
    <row r="423" spans="1:39" x14ac:dyDescent="0.2">
      <c r="A423" s="57" t="s">
        <v>2082</v>
      </c>
      <c r="B423" s="47">
        <v>46173</v>
      </c>
      <c r="C423" s="48"/>
      <c r="D423" s="48" t="s">
        <v>1608</v>
      </c>
      <c r="E423" s="49" t="s">
        <v>869</v>
      </c>
      <c r="F423" s="49" t="s">
        <v>870</v>
      </c>
      <c r="G423" s="47" t="e">
        <v>#N/A</v>
      </c>
      <c r="H423" s="47" t="s">
        <v>94</v>
      </c>
      <c r="I423" s="40" t="s">
        <v>868</v>
      </c>
      <c r="J423" s="40" t="s">
        <v>1722</v>
      </c>
      <c r="K423" s="40" t="s">
        <v>41</v>
      </c>
      <c r="L423" s="40" t="s">
        <v>32</v>
      </c>
      <c r="M423" s="11"/>
      <c r="N423" s="11"/>
      <c r="O423" s="50">
        <v>9</v>
      </c>
      <c r="R423" s="9">
        <f>IFERROR(VLOOKUP(E423,Sheet6!$A$2:$B$500,2,FALSE),0)</f>
        <v>2</v>
      </c>
      <c r="S423" s="41">
        <f>IFERROR(VLOOKUP(E423,Sheet6!$C$2:$D$35017,2,FALSE),0)</f>
        <v>37</v>
      </c>
      <c r="U423" s="9">
        <f>IFERROR(VLOOKUP(E423,Sheet2!$AA$1:$AB$975,2,FALSE),0)</f>
        <v>2</v>
      </c>
      <c r="V423" s="41">
        <f>IFERROR(VLOOKUP(E423,Sheet2!$AC$1:$AD$975,2,FALSE),0)</f>
        <v>39.979999999999997</v>
      </c>
      <c r="W423" s="42">
        <f>IFERROR(VLOOKUP(E423,Sheet2!$AE$1:$AF$975,2,FALSE),0)</f>
        <v>578</v>
      </c>
      <c r="X423" s="43">
        <f>IFERROR(VLOOKUP(E423,Sheet2!$AG$1:$AH$975,2,FALSE),0)</f>
        <v>0.48130000000000001</v>
      </c>
      <c r="Z423" s="60">
        <f>IFERROR(VLOOKUP(F423,Sheet2!$AA$1:$AB$975,2,FALSE),0)</f>
        <v>74</v>
      </c>
      <c r="AA423" s="64">
        <f>IFERROR(VLOOKUP(F423,Sheet2!$AC$1:$AD$975,2,FALSE),0)</f>
        <v>1479.26</v>
      </c>
      <c r="AB423" s="65">
        <f>IFERROR(VLOOKUP(F423,Sheet2!$AE$2:$AF$6539,2,FALSE),0)</f>
        <v>578</v>
      </c>
      <c r="AC423" s="43">
        <f>IFERROR(VLOOKUP(F423,Sheet2!$AG$2:$AH$6539,2,FALSE),0)</f>
        <v>0.48130000000000001</v>
      </c>
      <c r="AE423" s="112">
        <v>91</v>
      </c>
      <c r="AF423" s="9">
        <v>118</v>
      </c>
      <c r="AG423" s="9">
        <v>9</v>
      </c>
      <c r="AH423" s="9">
        <v>32</v>
      </c>
      <c r="AI423" s="9">
        <v>159</v>
      </c>
      <c r="AJ423" s="9">
        <f t="shared" si="14"/>
        <v>250</v>
      </c>
      <c r="AK423" s="45">
        <f t="shared" si="15"/>
        <v>2250</v>
      </c>
      <c r="AL423" s="68">
        <v>0</v>
      </c>
      <c r="AM423" s="68">
        <v>0</v>
      </c>
    </row>
    <row r="424" spans="1:39" x14ac:dyDescent="0.2">
      <c r="A424" s="57" t="s">
        <v>2082</v>
      </c>
      <c r="B424" s="47">
        <v>46173</v>
      </c>
      <c r="C424" s="48"/>
      <c r="D424" s="48" t="s">
        <v>1609</v>
      </c>
      <c r="E424" s="49" t="s">
        <v>871</v>
      </c>
      <c r="F424" s="49" t="s">
        <v>872</v>
      </c>
      <c r="G424" s="47" t="e">
        <v>#N/A</v>
      </c>
      <c r="H424" s="47" t="s">
        <v>94</v>
      </c>
      <c r="I424" s="40" t="s">
        <v>868</v>
      </c>
      <c r="J424" s="40" t="s">
        <v>1722</v>
      </c>
      <c r="K424" s="40" t="s">
        <v>41</v>
      </c>
      <c r="L424" s="40" t="s">
        <v>35</v>
      </c>
      <c r="M424" s="11"/>
      <c r="N424" s="11"/>
      <c r="O424" s="50">
        <v>9</v>
      </c>
      <c r="R424" s="9">
        <f>IFERROR(VLOOKUP(E424,Sheet6!$A$2:$B$500,2,FALSE),0)</f>
        <v>0</v>
      </c>
      <c r="S424" s="41">
        <f>IFERROR(VLOOKUP(E424,Sheet6!$C$2:$D$35017,2,FALSE),0)</f>
        <v>0</v>
      </c>
      <c r="U424" s="9">
        <f>IFERROR(VLOOKUP(E424,Sheet2!$AA$1:$AB$975,2,FALSE),0)</f>
        <v>3</v>
      </c>
      <c r="V424" s="41">
        <f>IFERROR(VLOOKUP(E424,Sheet2!$AC$1:$AD$975,2,FALSE),0)</f>
        <v>59.97</v>
      </c>
      <c r="W424" s="42">
        <f>IFERROR(VLOOKUP(E424,Sheet2!$AE$1:$AF$975,2,FALSE),0)</f>
        <v>186</v>
      </c>
      <c r="X424" s="43">
        <f>IFERROR(VLOOKUP(E424,Sheet2!$AG$1:$AH$975,2,FALSE),0)</f>
        <v>9.8299999999999998E-2</v>
      </c>
      <c r="Z424" s="60">
        <f>IFERROR(VLOOKUP(F424,Sheet2!$AA$1:$AB$975,2,FALSE),0)</f>
        <v>10</v>
      </c>
      <c r="AA424" s="64">
        <f>IFERROR(VLOOKUP(F424,Sheet2!$AC$1:$AD$975,2,FALSE),0)</f>
        <v>199.9</v>
      </c>
      <c r="AB424" s="65">
        <f>IFERROR(VLOOKUP(F424,Sheet2!$AE$2:$AF$6539,2,FALSE),0)</f>
        <v>186</v>
      </c>
      <c r="AC424" s="43">
        <f>IFERROR(VLOOKUP(F424,Sheet2!$AG$2:$AH$6539,2,FALSE),0)</f>
        <v>9.8299999999999998E-2</v>
      </c>
      <c r="AE424" s="112">
        <v>152</v>
      </c>
      <c r="AF424" s="9">
        <v>2</v>
      </c>
      <c r="AG424" s="9">
        <v>0</v>
      </c>
      <c r="AH424" s="9">
        <v>0</v>
      </c>
      <c r="AI424" s="9">
        <v>2</v>
      </c>
      <c r="AJ424" s="9">
        <f t="shared" si="14"/>
        <v>154</v>
      </c>
      <c r="AK424" s="45">
        <f t="shared" si="15"/>
        <v>1386</v>
      </c>
      <c r="AL424" s="68">
        <v>0</v>
      </c>
      <c r="AM424" s="68">
        <v>0</v>
      </c>
    </row>
    <row r="425" spans="1:39" x14ac:dyDescent="0.2">
      <c r="A425" s="57" t="s">
        <v>2082</v>
      </c>
      <c r="B425" s="47">
        <v>46173</v>
      </c>
      <c r="C425" s="108"/>
      <c r="D425" s="48" t="s">
        <v>1610</v>
      </c>
      <c r="E425" s="49" t="s">
        <v>873</v>
      </c>
      <c r="F425" s="49" t="s">
        <v>874</v>
      </c>
      <c r="G425" s="47" t="e">
        <v>#N/A</v>
      </c>
      <c r="H425" s="47" t="s">
        <v>94</v>
      </c>
      <c r="I425" s="9" t="s">
        <v>868</v>
      </c>
      <c r="J425" s="40" t="s">
        <v>1722</v>
      </c>
      <c r="K425" s="9" t="s">
        <v>586</v>
      </c>
      <c r="L425" s="9" t="s">
        <v>29</v>
      </c>
      <c r="M425" s="11"/>
      <c r="N425" s="11"/>
      <c r="O425" s="50">
        <v>9</v>
      </c>
      <c r="R425" s="9">
        <f>IFERROR(VLOOKUP(E425,Sheet6!$A$2:$B$500,2,FALSE),0)</f>
        <v>0</v>
      </c>
      <c r="S425" s="41">
        <f>IFERROR(VLOOKUP(E425,Sheet6!$C$2:$D$35017,2,FALSE),0)</f>
        <v>0</v>
      </c>
      <c r="U425" s="9">
        <f>IFERROR(VLOOKUP(E425,Sheet2!$AA$1:$AB$975,2,FALSE),0)</f>
        <v>0</v>
      </c>
      <c r="V425" s="41">
        <f>IFERROR(VLOOKUP(E425,Sheet2!$AC$1:$AD$975,2,FALSE),0)</f>
        <v>0</v>
      </c>
      <c r="W425" s="42">
        <f>IFERROR(VLOOKUP(E425,Sheet2!$AE$1:$AF$975,2,FALSE),0)</f>
        <v>0</v>
      </c>
      <c r="X425" s="43">
        <f>IFERROR(VLOOKUP(E425,Sheet2!$AG$1:$AH$975,2,FALSE),0)</f>
        <v>0</v>
      </c>
      <c r="Z425" s="60">
        <f>IFERROR(VLOOKUP(F425,Sheet2!$AA$1:$AB$975,2,FALSE),0)</f>
        <v>0</v>
      </c>
      <c r="AA425" s="64">
        <f>IFERROR(VLOOKUP(F425,Sheet2!$AC$1:$AD$975,2,FALSE),0)</f>
        <v>0</v>
      </c>
      <c r="AB425" s="65">
        <f>IFERROR(VLOOKUP(F425,Sheet2!$AE$2:$AF$6539,2,FALSE),0)</f>
        <v>0</v>
      </c>
      <c r="AC425" s="43">
        <f>IFERROR(VLOOKUP(F425,Sheet2!$AG$2:$AH$6539,2,FALSE),0)</f>
        <v>0</v>
      </c>
      <c r="AE425" s="112">
        <v>0</v>
      </c>
      <c r="AF425" s="9">
        <v>0</v>
      </c>
      <c r="AG425" s="9">
        <v>0</v>
      </c>
      <c r="AH425" s="9">
        <v>0</v>
      </c>
      <c r="AI425" s="9">
        <v>0</v>
      </c>
      <c r="AJ425" s="9">
        <f t="shared" si="14"/>
        <v>0</v>
      </c>
      <c r="AK425" s="45">
        <f t="shared" si="15"/>
        <v>0</v>
      </c>
      <c r="AL425" s="68">
        <v>0</v>
      </c>
      <c r="AM425" s="68">
        <v>0</v>
      </c>
    </row>
    <row r="426" spans="1:39" x14ac:dyDescent="0.2">
      <c r="A426" s="57" t="s">
        <v>2082</v>
      </c>
      <c r="B426" s="47">
        <v>46173</v>
      </c>
      <c r="C426" s="48"/>
      <c r="D426" s="48" t="s">
        <v>1611</v>
      </c>
      <c r="E426" s="49" t="s">
        <v>875</v>
      </c>
      <c r="F426" s="49" t="s">
        <v>876</v>
      </c>
      <c r="G426" s="47" t="e">
        <v>#N/A</v>
      </c>
      <c r="H426" s="47" t="s">
        <v>94</v>
      </c>
      <c r="I426" s="9" t="s">
        <v>868</v>
      </c>
      <c r="J426" s="40" t="s">
        <v>1722</v>
      </c>
      <c r="K426" s="9" t="s">
        <v>586</v>
      </c>
      <c r="L426" s="9" t="s">
        <v>32</v>
      </c>
      <c r="M426" s="11"/>
      <c r="N426" s="11"/>
      <c r="O426" s="50">
        <v>9</v>
      </c>
      <c r="R426" s="9">
        <f>IFERROR(VLOOKUP(E426,Sheet6!$A$2:$B$500,2,FALSE),0)</f>
        <v>1</v>
      </c>
      <c r="S426" s="41">
        <f>IFERROR(VLOOKUP(E426,Sheet6!$C$2:$D$35017,2,FALSE),0)</f>
        <v>20</v>
      </c>
      <c r="U426" s="9">
        <f>IFERROR(VLOOKUP(E426,Sheet2!$AA$1:$AB$975,2,FALSE),0)</f>
        <v>0</v>
      </c>
      <c r="V426" s="41">
        <f>IFERROR(VLOOKUP(E426,Sheet2!$AC$1:$AD$975,2,FALSE),0)</f>
        <v>0</v>
      </c>
      <c r="W426" s="42">
        <f>IFERROR(VLOOKUP(E426,Sheet2!$AE$1:$AF$975,2,FALSE),0)</f>
        <v>0</v>
      </c>
      <c r="X426" s="43">
        <f>IFERROR(VLOOKUP(E426,Sheet2!$AG$1:$AH$975,2,FALSE),0)</f>
        <v>0</v>
      </c>
      <c r="Z426" s="60">
        <f>IFERROR(VLOOKUP(F426,Sheet2!$AA$1:$AB$975,2,FALSE),0)</f>
        <v>1</v>
      </c>
      <c r="AA426" s="64">
        <f>IFERROR(VLOOKUP(F426,Sheet2!$AC$1:$AD$975,2,FALSE),0)</f>
        <v>19.989999999999998</v>
      </c>
      <c r="AB426" s="65">
        <f>IFERROR(VLOOKUP(F426,Sheet2!$AE$2:$AF$6539,2,FALSE),0)</f>
        <v>407</v>
      </c>
      <c r="AC426" s="43">
        <f>IFERROR(VLOOKUP(F426,Sheet2!$AG$2:$AH$6539,2,FALSE),0)</f>
        <v>1.3100000000000001E-2</v>
      </c>
      <c r="AE426" s="112">
        <v>10</v>
      </c>
      <c r="AF426" s="9">
        <v>0</v>
      </c>
      <c r="AG426" s="9">
        <v>60</v>
      </c>
      <c r="AH426" s="9">
        <v>0</v>
      </c>
      <c r="AI426" s="9">
        <v>60</v>
      </c>
      <c r="AJ426" s="9">
        <f t="shared" si="14"/>
        <v>70</v>
      </c>
      <c r="AK426" s="45">
        <f t="shared" si="15"/>
        <v>630</v>
      </c>
      <c r="AL426" s="68">
        <v>0</v>
      </c>
      <c r="AM426" s="68">
        <v>0</v>
      </c>
    </row>
    <row r="427" spans="1:39" x14ac:dyDescent="0.2">
      <c r="A427" s="57" t="s">
        <v>2082</v>
      </c>
      <c r="B427" s="47">
        <v>46173</v>
      </c>
      <c r="C427" s="48"/>
      <c r="D427" s="48" t="s">
        <v>1612</v>
      </c>
      <c r="E427" s="49" t="s">
        <v>877</v>
      </c>
      <c r="F427" s="49" t="s">
        <v>878</v>
      </c>
      <c r="G427" s="47" t="e">
        <v>#N/A</v>
      </c>
      <c r="H427" s="47" t="s">
        <v>94</v>
      </c>
      <c r="I427" s="9" t="s">
        <v>868</v>
      </c>
      <c r="J427" s="40" t="s">
        <v>1722</v>
      </c>
      <c r="K427" s="9" t="s">
        <v>586</v>
      </c>
      <c r="L427" s="9" t="s">
        <v>35</v>
      </c>
      <c r="M427" s="11"/>
      <c r="N427" s="11"/>
      <c r="O427" s="50">
        <v>9</v>
      </c>
      <c r="R427" s="9">
        <f>IFERROR(VLOOKUP(E427,Sheet6!$A$2:$B$500,2,FALSE),0)</f>
        <v>0</v>
      </c>
      <c r="S427" s="41">
        <f>IFERROR(VLOOKUP(E427,Sheet6!$C$2:$D$35017,2,FALSE),0)</f>
        <v>0</v>
      </c>
      <c r="U427" s="9">
        <f>IFERROR(VLOOKUP(E427,Sheet2!$AA$1:$AB$975,2,FALSE),0)</f>
        <v>2</v>
      </c>
      <c r="V427" s="41">
        <f>IFERROR(VLOOKUP(E427,Sheet2!$AC$1:$AD$975,2,FALSE),0)</f>
        <v>39.979999999999997</v>
      </c>
      <c r="W427" s="42">
        <f>IFERROR(VLOOKUP(E427,Sheet2!$AE$1:$AF$975,2,FALSE),0)</f>
        <v>258</v>
      </c>
      <c r="X427" s="43">
        <f>IFERROR(VLOOKUP(E427,Sheet2!$AG$1:$AH$975,2,FALSE),0)</f>
        <v>3.4000000000000002E-2</v>
      </c>
      <c r="Z427" s="60">
        <f>IFERROR(VLOOKUP(F427,Sheet2!$AA$1:$AB$975,2,FALSE),0)</f>
        <v>1</v>
      </c>
      <c r="AA427" s="64">
        <f>IFERROR(VLOOKUP(F427,Sheet2!$AC$1:$AD$975,2,FALSE),0)</f>
        <v>19.989999999999998</v>
      </c>
      <c r="AB427" s="65">
        <f>IFERROR(VLOOKUP(F427,Sheet2!$AE$2:$AF$6539,2,FALSE),0)</f>
        <v>258</v>
      </c>
      <c r="AC427" s="43">
        <f>IFERROR(VLOOKUP(F427,Sheet2!$AG$2:$AH$6539,2,FALSE),0)</f>
        <v>3.4000000000000002E-2</v>
      </c>
      <c r="AE427" s="112">
        <v>17</v>
      </c>
      <c r="AF427" s="9">
        <v>0</v>
      </c>
      <c r="AG427" s="9">
        <v>30</v>
      </c>
      <c r="AH427" s="9">
        <v>0</v>
      </c>
      <c r="AI427" s="9">
        <v>30</v>
      </c>
      <c r="AJ427" s="9">
        <f t="shared" si="14"/>
        <v>47</v>
      </c>
      <c r="AK427" s="45">
        <f t="shared" si="15"/>
        <v>423</v>
      </c>
      <c r="AL427" s="68">
        <v>60</v>
      </c>
      <c r="AM427" s="68">
        <v>0</v>
      </c>
    </row>
    <row r="428" spans="1:39" x14ac:dyDescent="0.2">
      <c r="A428" s="57" t="s">
        <v>2082</v>
      </c>
      <c r="B428" s="47">
        <v>46173</v>
      </c>
      <c r="C428" s="48"/>
      <c r="D428" s="48" t="s">
        <v>1613</v>
      </c>
      <c r="E428" s="49" t="s">
        <v>879</v>
      </c>
      <c r="F428" s="49" t="s">
        <v>880</v>
      </c>
      <c r="G428" s="47" t="e">
        <v>#N/A</v>
      </c>
      <c r="H428" s="47" t="s">
        <v>22</v>
      </c>
      <c r="I428" s="40" t="s">
        <v>868</v>
      </c>
      <c r="J428" s="40" t="s">
        <v>1722</v>
      </c>
      <c r="K428" s="40" t="s">
        <v>881</v>
      </c>
      <c r="L428" s="40" t="s">
        <v>29</v>
      </c>
      <c r="M428" s="11"/>
      <c r="N428" s="11"/>
      <c r="O428" s="50">
        <v>9</v>
      </c>
      <c r="R428" s="9">
        <f>IFERROR(VLOOKUP(E428,Sheet6!$A$2:$B$500,2,FALSE),0)</f>
        <v>2</v>
      </c>
      <c r="S428" s="41">
        <f>IFERROR(VLOOKUP(E428,Sheet6!$C$2:$D$35017,2,FALSE),0)</f>
        <v>40</v>
      </c>
      <c r="U428" s="9">
        <f>IFERROR(VLOOKUP(E428,Sheet2!$AA$1:$AB$975,2,FALSE),0)</f>
        <v>4</v>
      </c>
      <c r="V428" s="41">
        <f>IFERROR(VLOOKUP(E428,Sheet2!$AC$1:$AD$975,2,FALSE),0)</f>
        <v>79.959999999999994</v>
      </c>
      <c r="W428" s="42">
        <f>IFERROR(VLOOKUP(E428,Sheet2!$AE$1:$AF$975,2,FALSE),0)</f>
        <v>26</v>
      </c>
      <c r="X428" s="43">
        <f>IFERROR(VLOOKUP(E428,Sheet2!$AG$1:$AH$975,2,FALSE),0)</f>
        <v>2.63E-2</v>
      </c>
      <c r="Z428" s="60">
        <f>IFERROR(VLOOKUP(F428,Sheet2!$AA$1:$AB$975,2,FALSE),0)</f>
        <v>1</v>
      </c>
      <c r="AA428" s="64">
        <f>IFERROR(VLOOKUP(F428,Sheet2!$AC$1:$AD$975,2,FALSE),0)</f>
        <v>19.989999999999998</v>
      </c>
      <c r="AB428" s="65">
        <f>IFERROR(VLOOKUP(F428,Sheet2!$AE$2:$AF$6539,2,FALSE),0)</f>
        <v>26</v>
      </c>
      <c r="AC428" s="43">
        <f>IFERROR(VLOOKUP(F428,Sheet2!$AG$2:$AH$6539,2,FALSE),0)</f>
        <v>2.63E-2</v>
      </c>
      <c r="AE428" s="112">
        <v>66</v>
      </c>
      <c r="AF428" s="9">
        <v>39</v>
      </c>
      <c r="AG428" s="9">
        <v>6</v>
      </c>
      <c r="AH428" s="9">
        <v>0</v>
      </c>
      <c r="AI428" s="9">
        <v>45</v>
      </c>
      <c r="AJ428" s="9">
        <f t="shared" si="14"/>
        <v>111</v>
      </c>
      <c r="AK428" s="45">
        <f t="shared" si="15"/>
        <v>999</v>
      </c>
      <c r="AL428" s="68">
        <v>0</v>
      </c>
      <c r="AM428" s="68">
        <v>0</v>
      </c>
    </row>
    <row r="429" spans="1:39" x14ac:dyDescent="0.2">
      <c r="A429" s="57" t="s">
        <v>2082</v>
      </c>
      <c r="B429" s="47">
        <v>46173</v>
      </c>
      <c r="C429" s="108"/>
      <c r="D429" s="48" t="s">
        <v>1614</v>
      </c>
      <c r="E429" s="49" t="s">
        <v>882</v>
      </c>
      <c r="F429" s="49" t="s">
        <v>883</v>
      </c>
      <c r="G429" s="47" t="e">
        <v>#N/A</v>
      </c>
      <c r="H429" s="47" t="s">
        <v>22</v>
      </c>
      <c r="I429" s="40" t="s">
        <v>868</v>
      </c>
      <c r="J429" s="40" t="s">
        <v>1722</v>
      </c>
      <c r="K429" s="40" t="s">
        <v>881</v>
      </c>
      <c r="L429" s="40" t="s">
        <v>32</v>
      </c>
      <c r="M429" s="11"/>
      <c r="N429" s="11"/>
      <c r="O429" s="50">
        <v>9</v>
      </c>
      <c r="R429" s="9">
        <f>IFERROR(VLOOKUP(E429,Sheet6!$A$2:$B$500,2,FALSE),0)</f>
        <v>4</v>
      </c>
      <c r="S429" s="41">
        <f>IFERROR(VLOOKUP(E429,Sheet6!$C$2:$D$35017,2,FALSE),0)</f>
        <v>78</v>
      </c>
      <c r="U429" s="9">
        <f>IFERROR(VLOOKUP(E429,Sheet2!$AA$1:$AB$975,2,FALSE),0)</f>
        <v>0</v>
      </c>
      <c r="V429" s="41">
        <f>IFERROR(VLOOKUP(E429,Sheet2!$AC$1:$AD$975,2,FALSE),0)</f>
        <v>0</v>
      </c>
      <c r="W429" s="42">
        <f>IFERROR(VLOOKUP(E429,Sheet2!$AE$1:$AF$975,2,FALSE),0)</f>
        <v>0</v>
      </c>
      <c r="X429" s="43">
        <f>IFERROR(VLOOKUP(E429,Sheet2!$AG$1:$AH$975,2,FALSE),0)</f>
        <v>0</v>
      </c>
      <c r="Z429" s="60">
        <f>IFERROR(VLOOKUP(F429,Sheet2!$AA$1:$AB$975,2,FALSE),0)</f>
        <v>0</v>
      </c>
      <c r="AA429" s="64">
        <f>IFERROR(VLOOKUP(F429,Sheet2!$AC$1:$AD$975,2,FALSE),0)</f>
        <v>0</v>
      </c>
      <c r="AB429" s="65">
        <f>IFERROR(VLOOKUP(F429,Sheet2!$AE$2:$AF$6539,2,FALSE),0)</f>
        <v>0</v>
      </c>
      <c r="AC429" s="43">
        <f>IFERROR(VLOOKUP(F429,Sheet2!$AG$2:$AH$6539,2,FALSE),0)</f>
        <v>0</v>
      </c>
      <c r="AE429" s="112">
        <v>61</v>
      </c>
      <c r="AF429" s="9">
        <v>0</v>
      </c>
      <c r="AG429" s="9">
        <v>0</v>
      </c>
      <c r="AH429" s="9">
        <v>0</v>
      </c>
      <c r="AI429" s="9">
        <v>0</v>
      </c>
      <c r="AJ429" s="9">
        <f t="shared" si="14"/>
        <v>61</v>
      </c>
      <c r="AK429" s="45">
        <f t="shared" si="15"/>
        <v>549</v>
      </c>
      <c r="AL429" s="68">
        <v>0</v>
      </c>
      <c r="AM429" s="68">
        <v>0</v>
      </c>
    </row>
    <row r="430" spans="1:39" x14ac:dyDescent="0.2">
      <c r="A430" s="57" t="s">
        <v>2082</v>
      </c>
      <c r="B430" s="47">
        <v>46173</v>
      </c>
      <c r="C430" s="48"/>
      <c r="D430" s="48" t="s">
        <v>1615</v>
      </c>
      <c r="E430" s="49" t="s">
        <v>884</v>
      </c>
      <c r="F430" s="49" t="s">
        <v>885</v>
      </c>
      <c r="G430" s="47" t="e">
        <v>#N/A</v>
      </c>
      <c r="H430" s="47" t="s">
        <v>22</v>
      </c>
      <c r="I430" s="40" t="s">
        <v>868</v>
      </c>
      <c r="J430" s="40" t="s">
        <v>1722</v>
      </c>
      <c r="K430" s="40" t="s">
        <v>881</v>
      </c>
      <c r="L430" s="40" t="s">
        <v>35</v>
      </c>
      <c r="M430" s="11"/>
      <c r="N430" s="11"/>
      <c r="O430" s="50">
        <v>9</v>
      </c>
      <c r="R430" s="9">
        <f>IFERROR(VLOOKUP(E430,Sheet6!$A$2:$B$500,2,FALSE),0)</f>
        <v>1</v>
      </c>
      <c r="S430" s="41">
        <f>IFERROR(VLOOKUP(E430,Sheet6!$C$2:$D$35017,2,FALSE),0)</f>
        <v>20</v>
      </c>
      <c r="U430" s="9">
        <f>IFERROR(VLOOKUP(E430,Sheet2!$AA$1:$AB$975,2,FALSE),0)</f>
        <v>0</v>
      </c>
      <c r="V430" s="41">
        <f>IFERROR(VLOOKUP(E430,Sheet2!$AC$1:$AD$975,2,FALSE),0)</f>
        <v>0</v>
      </c>
      <c r="W430" s="42">
        <f>IFERROR(VLOOKUP(E430,Sheet2!$AE$1:$AF$975,2,FALSE),0)</f>
        <v>0</v>
      </c>
      <c r="X430" s="43">
        <f>IFERROR(VLOOKUP(E430,Sheet2!$AG$1:$AH$975,2,FALSE),0)</f>
        <v>0</v>
      </c>
      <c r="Z430" s="60">
        <f>IFERROR(VLOOKUP(F430,Sheet2!$AA$1:$AB$975,2,FALSE),0)</f>
        <v>2</v>
      </c>
      <c r="AA430" s="64">
        <f>IFERROR(VLOOKUP(F430,Sheet2!$AC$1:$AD$975,2,FALSE),0)</f>
        <v>39.979999999999997</v>
      </c>
      <c r="AB430" s="65">
        <f>IFERROR(VLOOKUP(F430,Sheet2!$AE$2:$AF$6539,2,FALSE),0)</f>
        <v>64</v>
      </c>
      <c r="AC430" s="43">
        <f>IFERROR(VLOOKUP(F430,Sheet2!$AG$2:$AH$6539,2,FALSE),0)</f>
        <v>0</v>
      </c>
      <c r="AE430" s="112">
        <v>118</v>
      </c>
      <c r="AF430" s="9">
        <v>49</v>
      </c>
      <c r="AG430" s="9">
        <v>0</v>
      </c>
      <c r="AH430" s="9">
        <v>0</v>
      </c>
      <c r="AI430" s="9">
        <v>49</v>
      </c>
      <c r="AJ430" s="9">
        <f t="shared" si="14"/>
        <v>167</v>
      </c>
      <c r="AK430" s="45">
        <f t="shared" si="15"/>
        <v>1503</v>
      </c>
      <c r="AL430" s="68">
        <v>0</v>
      </c>
      <c r="AM430" s="68">
        <v>0</v>
      </c>
    </row>
    <row r="431" spans="1:39" x14ac:dyDescent="0.2">
      <c r="A431" s="57" t="s">
        <v>2082</v>
      </c>
      <c r="B431" s="47">
        <v>46173</v>
      </c>
      <c r="C431" s="48"/>
      <c r="D431" s="48" t="s">
        <v>1616</v>
      </c>
      <c r="E431" s="49" t="s">
        <v>886</v>
      </c>
      <c r="F431" s="49" t="s">
        <v>887</v>
      </c>
      <c r="G431" s="47" t="e">
        <v>#N/A</v>
      </c>
      <c r="H431" s="47" t="s">
        <v>22</v>
      </c>
      <c r="I431" s="9" t="s">
        <v>888</v>
      </c>
      <c r="J431" s="40" t="s">
        <v>1753</v>
      </c>
      <c r="K431" s="9" t="s">
        <v>24</v>
      </c>
      <c r="L431" s="9" t="s">
        <v>29</v>
      </c>
      <c r="M431" s="11"/>
      <c r="N431" s="11"/>
      <c r="O431" s="50">
        <v>8.7750000000000004</v>
      </c>
      <c r="R431" s="9">
        <f>IFERROR(VLOOKUP(E431,Sheet6!$A$2:$B$500,2,FALSE),0)</f>
        <v>0</v>
      </c>
      <c r="S431" s="41">
        <f>IFERROR(VLOOKUP(E431,Sheet6!$C$2:$D$35017,2,FALSE),0)</f>
        <v>0</v>
      </c>
      <c r="U431" s="9">
        <f>IFERROR(VLOOKUP(E431,Sheet2!$AA$1:$AB$975,2,FALSE),0)</f>
        <v>1</v>
      </c>
      <c r="V431" s="41">
        <f>IFERROR(VLOOKUP(E431,Sheet2!$AC$1:$AD$975,2,FALSE),0)</f>
        <v>19.5</v>
      </c>
      <c r="W431" s="42">
        <f>IFERROR(VLOOKUP(E431,Sheet2!$AE$1:$AF$975,2,FALSE),0)</f>
        <v>109</v>
      </c>
      <c r="X431" s="43">
        <f>IFERROR(VLOOKUP(E431,Sheet2!$AG$1:$AH$975,2,FALSE),0)</f>
        <v>1</v>
      </c>
      <c r="Z431" s="60">
        <f>IFERROR(VLOOKUP(F431,Sheet2!$AA$1:$AB$975,2,FALSE),0)</f>
        <v>4</v>
      </c>
      <c r="AA431" s="64">
        <f>IFERROR(VLOOKUP(F431,Sheet2!$AC$1:$AD$975,2,FALSE),0)</f>
        <v>78</v>
      </c>
      <c r="AB431" s="65">
        <f>IFERROR(VLOOKUP(F431,Sheet2!$AE$2:$AF$6539,2,FALSE),0)</f>
        <v>109</v>
      </c>
      <c r="AC431" s="43">
        <f>IFERROR(VLOOKUP(F431,Sheet2!$AG$2:$AH$6539,2,FALSE),0)</f>
        <v>1</v>
      </c>
      <c r="AE431" s="112">
        <v>11</v>
      </c>
      <c r="AF431" s="9">
        <v>33</v>
      </c>
      <c r="AG431" s="9">
        <v>0</v>
      </c>
      <c r="AH431" s="9">
        <v>2</v>
      </c>
      <c r="AI431" s="9">
        <v>35</v>
      </c>
      <c r="AJ431" s="9">
        <f t="shared" si="14"/>
        <v>46</v>
      </c>
      <c r="AK431" s="45">
        <f t="shared" si="15"/>
        <v>403.65000000000003</v>
      </c>
      <c r="AL431" s="68">
        <v>0</v>
      </c>
      <c r="AM431" s="68">
        <v>0</v>
      </c>
    </row>
    <row r="432" spans="1:39" x14ac:dyDescent="0.2">
      <c r="A432" s="57" t="s">
        <v>2082</v>
      </c>
      <c r="B432" s="47">
        <v>46173</v>
      </c>
      <c r="C432" s="48"/>
      <c r="D432" s="48" t="s">
        <v>1617</v>
      </c>
      <c r="E432" s="49" t="s">
        <v>889</v>
      </c>
      <c r="F432" s="49" t="s">
        <v>890</v>
      </c>
      <c r="G432" s="47" t="e">
        <v>#N/A</v>
      </c>
      <c r="H432" s="47" t="s">
        <v>22</v>
      </c>
      <c r="I432" s="9" t="s">
        <v>888</v>
      </c>
      <c r="J432" s="40" t="s">
        <v>1753</v>
      </c>
      <c r="K432" s="9" t="s">
        <v>24</v>
      </c>
      <c r="L432" s="9" t="s">
        <v>32</v>
      </c>
      <c r="M432" s="11"/>
      <c r="N432" s="11"/>
      <c r="O432" s="50">
        <v>8.7750000000000004</v>
      </c>
      <c r="R432" s="9">
        <f>IFERROR(VLOOKUP(E432,Sheet6!$A$2:$B$500,2,FALSE),0)</f>
        <v>0</v>
      </c>
      <c r="S432" s="41">
        <f>IFERROR(VLOOKUP(E432,Sheet6!$C$2:$D$35017,2,FALSE),0)</f>
        <v>0</v>
      </c>
      <c r="U432" s="9">
        <f>IFERROR(VLOOKUP(E432,Sheet2!$AA$1:$AB$975,2,FALSE),0)</f>
        <v>0</v>
      </c>
      <c r="V432" s="41">
        <f>IFERROR(VLOOKUP(E432,Sheet2!$AC$1:$AD$975,2,FALSE),0)</f>
        <v>0</v>
      </c>
      <c r="W432" s="42">
        <f>IFERROR(VLOOKUP(E432,Sheet2!$AE$1:$AF$975,2,FALSE),0)</f>
        <v>0</v>
      </c>
      <c r="X432" s="43">
        <f>IFERROR(VLOOKUP(E432,Sheet2!$AG$1:$AH$975,2,FALSE),0)</f>
        <v>0</v>
      </c>
      <c r="Z432" s="60">
        <f>IFERROR(VLOOKUP(F432,Sheet2!$AA$1:$AB$975,2,FALSE),0)</f>
        <v>0</v>
      </c>
      <c r="AA432" s="64">
        <f>IFERROR(VLOOKUP(F432,Sheet2!$AC$1:$AD$975,2,FALSE),0)</f>
        <v>0</v>
      </c>
      <c r="AB432" s="65">
        <f>IFERROR(VLOOKUP(F432,Sheet2!$AE$2:$AF$6539,2,FALSE),0)</f>
        <v>0</v>
      </c>
      <c r="AC432" s="43">
        <f>IFERROR(VLOOKUP(F432,Sheet2!$AG$2:$AH$6539,2,FALSE),0)</f>
        <v>0</v>
      </c>
      <c r="AE432" s="112">
        <v>0</v>
      </c>
      <c r="AF432" s="9">
        <v>0</v>
      </c>
      <c r="AG432" s="9">
        <v>0</v>
      </c>
      <c r="AH432" s="9">
        <v>0</v>
      </c>
      <c r="AI432" s="9">
        <v>0</v>
      </c>
      <c r="AJ432" s="9">
        <f t="shared" si="14"/>
        <v>0</v>
      </c>
      <c r="AK432" s="45">
        <f t="shared" si="15"/>
        <v>0</v>
      </c>
      <c r="AL432" s="68">
        <v>12</v>
      </c>
      <c r="AM432" s="68">
        <v>0</v>
      </c>
    </row>
    <row r="433" spans="1:39" x14ac:dyDescent="0.2">
      <c r="A433" s="57" t="s">
        <v>2082</v>
      </c>
      <c r="B433" s="47">
        <v>46173</v>
      </c>
      <c r="C433" s="48"/>
      <c r="D433" s="48" t="s">
        <v>1618</v>
      </c>
      <c r="E433" s="49" t="s">
        <v>891</v>
      </c>
      <c r="F433" s="49" t="s">
        <v>892</v>
      </c>
      <c r="G433" s="47" t="e">
        <v>#N/A</v>
      </c>
      <c r="H433" s="47" t="s">
        <v>22</v>
      </c>
      <c r="I433" s="9" t="s">
        <v>888</v>
      </c>
      <c r="J433" s="40" t="s">
        <v>1753</v>
      </c>
      <c r="K433" s="9" t="s">
        <v>24</v>
      </c>
      <c r="L433" s="9" t="s">
        <v>35</v>
      </c>
      <c r="M433" s="11"/>
      <c r="N433" s="11"/>
      <c r="O433" s="50">
        <v>8.7750000000000004</v>
      </c>
      <c r="R433" s="9">
        <f>IFERROR(VLOOKUP(E433,Sheet6!$A$2:$B$500,2,FALSE),0)</f>
        <v>0</v>
      </c>
      <c r="S433" s="41">
        <f>IFERROR(VLOOKUP(E433,Sheet6!$C$2:$D$35017,2,FALSE),0)</f>
        <v>0</v>
      </c>
      <c r="U433" s="9">
        <f>IFERROR(VLOOKUP(E433,Sheet2!$AA$1:$AB$975,2,FALSE),0)</f>
        <v>0</v>
      </c>
      <c r="V433" s="41">
        <f>IFERROR(VLOOKUP(E433,Sheet2!$AC$1:$AD$975,2,FALSE),0)</f>
        <v>0</v>
      </c>
      <c r="W433" s="42">
        <f>IFERROR(VLOOKUP(E433,Sheet2!$AE$1:$AF$975,2,FALSE),0)</f>
        <v>0</v>
      </c>
      <c r="X433" s="43">
        <f>IFERROR(VLOOKUP(E433,Sheet2!$AG$1:$AH$975,2,FALSE),0)</f>
        <v>0</v>
      </c>
      <c r="Z433" s="60">
        <f>IFERROR(VLOOKUP(F433,Sheet2!$AA$1:$AB$975,2,FALSE),0)</f>
        <v>3</v>
      </c>
      <c r="AA433" s="64">
        <f>IFERROR(VLOOKUP(F433,Sheet2!$AC$1:$AD$975,2,FALSE),0)</f>
        <v>58.5</v>
      </c>
      <c r="AB433" s="65">
        <f>IFERROR(VLOOKUP(F433,Sheet2!$AE$2:$AF$6539,2,FALSE),0)</f>
        <v>18</v>
      </c>
      <c r="AC433" s="43">
        <f>IFERROR(VLOOKUP(F433,Sheet2!$AG$2:$AH$6539,2,FALSE),0)</f>
        <v>1</v>
      </c>
      <c r="AE433" s="112">
        <v>0</v>
      </c>
      <c r="AF433" s="9">
        <v>0</v>
      </c>
      <c r="AG433" s="9">
        <v>24</v>
      </c>
      <c r="AH433" s="9">
        <v>0</v>
      </c>
      <c r="AI433" s="9">
        <v>24</v>
      </c>
      <c r="AJ433" s="9">
        <f t="shared" si="14"/>
        <v>24</v>
      </c>
      <c r="AK433" s="45">
        <f t="shared" si="15"/>
        <v>210.60000000000002</v>
      </c>
      <c r="AL433" s="68">
        <v>0</v>
      </c>
      <c r="AM433" s="68">
        <v>0</v>
      </c>
    </row>
    <row r="434" spans="1:39" x14ac:dyDescent="0.2">
      <c r="A434" s="57" t="s">
        <v>2082</v>
      </c>
      <c r="B434" s="47">
        <v>46173</v>
      </c>
      <c r="C434" s="48"/>
      <c r="D434" s="48" t="s">
        <v>1619</v>
      </c>
      <c r="E434" s="49" t="s">
        <v>893</v>
      </c>
      <c r="F434" s="49" t="s">
        <v>894</v>
      </c>
      <c r="G434" s="47" t="e">
        <v>#N/A</v>
      </c>
      <c r="H434" s="47" t="s">
        <v>94</v>
      </c>
      <c r="I434" s="9" t="s">
        <v>895</v>
      </c>
      <c r="J434" s="40" t="s">
        <v>1731</v>
      </c>
      <c r="K434" s="9" t="s">
        <v>394</v>
      </c>
      <c r="L434" s="40" t="s">
        <v>29</v>
      </c>
      <c r="M434" s="11"/>
      <c r="N434" s="11"/>
      <c r="O434" s="50">
        <v>9</v>
      </c>
      <c r="R434" s="9">
        <f>IFERROR(VLOOKUP(E434,Sheet6!$A$2:$B$500,2,FALSE),0)</f>
        <v>1</v>
      </c>
      <c r="S434" s="41">
        <f>IFERROR(VLOOKUP(E434,Sheet6!$C$2:$D$35017,2,FALSE),0)</f>
        <v>20</v>
      </c>
      <c r="U434" s="9">
        <f>IFERROR(VLOOKUP(E434,Sheet2!$AA$1:$AB$975,2,FALSE),0)</f>
        <v>0</v>
      </c>
      <c r="V434" s="41">
        <f>IFERROR(VLOOKUP(E434,Sheet2!$AC$1:$AD$975,2,FALSE),0)</f>
        <v>0</v>
      </c>
      <c r="W434" s="42">
        <f>IFERROR(VLOOKUP(E434,Sheet2!$AE$1:$AF$975,2,FALSE),0)</f>
        <v>0</v>
      </c>
      <c r="X434" s="43">
        <f>IFERROR(VLOOKUP(E434,Sheet2!$AG$1:$AH$975,2,FALSE),0)</f>
        <v>0</v>
      </c>
      <c r="Z434" s="60">
        <f>IFERROR(VLOOKUP(F434,Sheet2!$AA$1:$AB$975,2,FALSE),0)</f>
        <v>6</v>
      </c>
      <c r="AA434" s="64">
        <f>IFERROR(VLOOKUP(F434,Sheet2!$AC$1:$AD$975,2,FALSE),0)</f>
        <v>119.94</v>
      </c>
      <c r="AB434" s="65">
        <f>IFERROR(VLOOKUP(F434,Sheet2!$AE$2:$AF$6539,2,FALSE),0)</f>
        <v>99</v>
      </c>
      <c r="AC434" s="43">
        <f>IFERROR(VLOOKUP(F434,Sheet2!$AG$2:$AH$6539,2,FALSE),0)</f>
        <v>0.25</v>
      </c>
      <c r="AE434" s="112">
        <v>17</v>
      </c>
      <c r="AF434" s="9">
        <v>0</v>
      </c>
      <c r="AG434" s="9">
        <v>1</v>
      </c>
      <c r="AH434" s="9">
        <v>0</v>
      </c>
      <c r="AI434" s="9">
        <v>1</v>
      </c>
      <c r="AJ434" s="9">
        <f t="shared" si="14"/>
        <v>18</v>
      </c>
      <c r="AK434" s="45">
        <f t="shared" si="15"/>
        <v>162</v>
      </c>
      <c r="AL434" s="68">
        <v>12</v>
      </c>
      <c r="AM434" s="68">
        <v>0</v>
      </c>
    </row>
    <row r="435" spans="1:39" x14ac:dyDescent="0.2">
      <c r="A435" s="57" t="s">
        <v>2082</v>
      </c>
      <c r="B435" s="47">
        <v>46173</v>
      </c>
      <c r="C435" s="48"/>
      <c r="D435" s="48" t="s">
        <v>1620</v>
      </c>
      <c r="E435" s="49" t="s">
        <v>896</v>
      </c>
      <c r="F435" s="49" t="s">
        <v>897</v>
      </c>
      <c r="G435" s="47" t="e">
        <v>#N/A</v>
      </c>
      <c r="H435" s="47" t="s">
        <v>94</v>
      </c>
      <c r="I435" s="9" t="s">
        <v>895</v>
      </c>
      <c r="J435" s="40" t="s">
        <v>1731</v>
      </c>
      <c r="K435" s="9" t="s">
        <v>394</v>
      </c>
      <c r="L435" s="40" t="s">
        <v>32</v>
      </c>
      <c r="M435" s="11"/>
      <c r="N435" s="11"/>
      <c r="O435" s="50">
        <v>9</v>
      </c>
      <c r="R435" s="9">
        <f>IFERROR(VLOOKUP(E435,Sheet6!$A$2:$B$500,2,FALSE),0)</f>
        <v>0</v>
      </c>
      <c r="S435" s="41">
        <f>IFERROR(VLOOKUP(E435,Sheet6!$C$2:$D$35017,2,FALSE),0)</f>
        <v>0</v>
      </c>
      <c r="U435" s="9">
        <f>IFERROR(VLOOKUP(E435,Sheet2!$AA$1:$AB$975,2,FALSE),0)</f>
        <v>0</v>
      </c>
      <c r="V435" s="41">
        <f>IFERROR(VLOOKUP(E435,Sheet2!$AC$1:$AD$975,2,FALSE),0)</f>
        <v>0</v>
      </c>
      <c r="W435" s="42">
        <f>IFERROR(VLOOKUP(E435,Sheet2!$AE$1:$AF$975,2,FALSE),0)</f>
        <v>0</v>
      </c>
      <c r="X435" s="43">
        <f>IFERROR(VLOOKUP(E435,Sheet2!$AG$1:$AH$975,2,FALSE),0)</f>
        <v>0</v>
      </c>
      <c r="Z435" s="60">
        <f>IFERROR(VLOOKUP(F435,Sheet2!$AA$1:$AB$975,2,FALSE),0)</f>
        <v>17</v>
      </c>
      <c r="AA435" s="64">
        <f>IFERROR(VLOOKUP(F435,Sheet2!$AC$1:$AD$975,2,FALSE),0)</f>
        <v>339.83</v>
      </c>
      <c r="AB435" s="65">
        <f>IFERROR(VLOOKUP(F435,Sheet2!$AE$2:$AF$6539,2,FALSE),0)</f>
        <v>126</v>
      </c>
      <c r="AC435" s="43">
        <f>IFERROR(VLOOKUP(F435,Sheet2!$AG$2:$AH$6539,2,FALSE),0)</f>
        <v>0.26350000000000001</v>
      </c>
      <c r="AE435" s="112">
        <v>0</v>
      </c>
      <c r="AF435" s="9">
        <v>2</v>
      </c>
      <c r="AG435" s="9">
        <v>0</v>
      </c>
      <c r="AH435" s="9">
        <v>25</v>
      </c>
      <c r="AI435" s="9">
        <v>27</v>
      </c>
      <c r="AJ435" s="9">
        <f t="shared" si="14"/>
        <v>27</v>
      </c>
      <c r="AK435" s="45">
        <f t="shared" si="15"/>
        <v>243</v>
      </c>
      <c r="AL435" s="68">
        <v>24</v>
      </c>
      <c r="AM435" s="68">
        <v>60</v>
      </c>
    </row>
    <row r="436" spans="1:39" x14ac:dyDescent="0.2">
      <c r="A436" s="57" t="s">
        <v>2082</v>
      </c>
      <c r="B436" s="47">
        <v>46173</v>
      </c>
      <c r="C436" s="48"/>
      <c r="D436" s="48" t="s">
        <v>1621</v>
      </c>
      <c r="E436" s="49" t="s">
        <v>898</v>
      </c>
      <c r="F436" s="49" t="s">
        <v>899</v>
      </c>
      <c r="G436" s="47" t="e">
        <v>#N/A</v>
      </c>
      <c r="H436" s="47" t="s">
        <v>94</v>
      </c>
      <c r="I436" s="9" t="s">
        <v>895</v>
      </c>
      <c r="J436" s="40" t="s">
        <v>1731</v>
      </c>
      <c r="K436" s="9" t="s">
        <v>394</v>
      </c>
      <c r="L436" s="40" t="s">
        <v>35</v>
      </c>
      <c r="M436" s="11"/>
      <c r="N436" s="11"/>
      <c r="O436" s="50">
        <v>9</v>
      </c>
      <c r="R436" s="9">
        <f>IFERROR(VLOOKUP(E436,Sheet6!$A$2:$B$500,2,FALSE),0)</f>
        <v>0</v>
      </c>
      <c r="S436" s="41">
        <f>IFERROR(VLOOKUP(E436,Sheet6!$C$2:$D$35017,2,FALSE),0)</f>
        <v>0</v>
      </c>
      <c r="U436" s="9">
        <f>IFERROR(VLOOKUP(E436,Sheet2!$AA$1:$AB$975,2,FALSE),0)</f>
        <v>10</v>
      </c>
      <c r="V436" s="41">
        <f>IFERROR(VLOOKUP(E436,Sheet2!$AC$1:$AD$975,2,FALSE),0)</f>
        <v>199.9</v>
      </c>
      <c r="W436" s="42">
        <f>IFERROR(VLOOKUP(E436,Sheet2!$AE$1:$AF$975,2,FALSE),0)</f>
        <v>74</v>
      </c>
      <c r="X436" s="43">
        <f>IFERROR(VLOOKUP(E436,Sheet2!$AG$1:$AH$975,2,FALSE),0)</f>
        <v>0.625</v>
      </c>
      <c r="Z436" s="60">
        <f>IFERROR(VLOOKUP(F436,Sheet2!$AA$1:$AB$975,2,FALSE),0)</f>
        <v>6</v>
      </c>
      <c r="AA436" s="64">
        <f>IFERROR(VLOOKUP(F436,Sheet2!$AC$1:$AD$975,2,FALSE),0)</f>
        <v>119.94</v>
      </c>
      <c r="AB436" s="65">
        <f>IFERROR(VLOOKUP(F436,Sheet2!$AE$2:$AF$6539,2,FALSE),0)</f>
        <v>74</v>
      </c>
      <c r="AC436" s="43">
        <f>IFERROR(VLOOKUP(F436,Sheet2!$AG$2:$AH$6539,2,FALSE),0)</f>
        <v>0.625</v>
      </c>
      <c r="AE436" s="112">
        <v>15</v>
      </c>
      <c r="AF436" s="9">
        <v>0</v>
      </c>
      <c r="AG436" s="9">
        <v>0</v>
      </c>
      <c r="AH436" s="9">
        <v>0</v>
      </c>
      <c r="AI436" s="9">
        <v>0</v>
      </c>
      <c r="AJ436" s="9">
        <f t="shared" si="14"/>
        <v>15</v>
      </c>
      <c r="AK436" s="45">
        <f t="shared" si="15"/>
        <v>135</v>
      </c>
      <c r="AL436" s="68">
        <v>18</v>
      </c>
      <c r="AM436" s="68">
        <v>0</v>
      </c>
    </row>
    <row r="437" spans="1:39" x14ac:dyDescent="0.2">
      <c r="A437" s="57" t="s">
        <v>2082</v>
      </c>
      <c r="B437" s="47">
        <v>46173</v>
      </c>
      <c r="C437" s="108"/>
      <c r="D437" s="48" t="s">
        <v>1622</v>
      </c>
      <c r="E437" s="49" t="s">
        <v>900</v>
      </c>
      <c r="F437" s="49" t="s">
        <v>901</v>
      </c>
      <c r="G437" s="47"/>
      <c r="H437" s="47"/>
      <c r="I437" s="9" t="s">
        <v>902</v>
      </c>
      <c r="J437" s="40" t="s">
        <v>1665</v>
      </c>
      <c r="K437" s="9" t="s">
        <v>195</v>
      </c>
      <c r="L437" s="9" t="s">
        <v>29</v>
      </c>
      <c r="M437" s="11"/>
      <c r="N437" s="11"/>
      <c r="O437" s="50">
        <v>9.9</v>
      </c>
      <c r="R437" s="9">
        <f>IFERROR(VLOOKUP(E437,Sheet6!$A$2:$B$500,2,FALSE),0)</f>
        <v>0</v>
      </c>
      <c r="S437" s="41">
        <f>IFERROR(VLOOKUP(E437,Sheet6!$C$2:$D$35017,2,FALSE),0)</f>
        <v>0</v>
      </c>
      <c r="U437" s="9">
        <f>IFERROR(VLOOKUP(E437,Sheet2!$AA$1:$AB$975,2,FALSE),0)</f>
        <v>0</v>
      </c>
      <c r="V437" s="41">
        <f>IFERROR(VLOOKUP(E437,Sheet2!$AC$1:$AD$975,2,FALSE),0)</f>
        <v>0</v>
      </c>
      <c r="W437" s="42">
        <f>IFERROR(VLOOKUP(E437,Sheet2!$AE$1:$AF$975,2,FALSE),0)</f>
        <v>0</v>
      </c>
      <c r="X437" s="43">
        <f>IFERROR(VLOOKUP(E437,Sheet2!$AG$1:$AH$975,2,FALSE),0)</f>
        <v>0</v>
      </c>
      <c r="Z437" s="60">
        <f>IFERROR(VLOOKUP(F437,Sheet2!$AA$1:$AB$975,2,FALSE),0)</f>
        <v>0</v>
      </c>
      <c r="AA437" s="64">
        <f>IFERROR(VLOOKUP(F437,Sheet2!$AC$1:$AD$975,2,FALSE),0)</f>
        <v>0</v>
      </c>
      <c r="AB437" s="65">
        <f>IFERROR(VLOOKUP(F437,Sheet2!$AE$2:$AF$6539,2,FALSE),0)</f>
        <v>0</v>
      </c>
      <c r="AC437" s="43">
        <f>IFERROR(VLOOKUP(F437,Sheet2!$AG$2:$AH$6539,2,FALSE),0)</f>
        <v>0</v>
      </c>
      <c r="AE437" s="112">
        <v>0</v>
      </c>
      <c r="AF437" s="9">
        <v>0</v>
      </c>
      <c r="AG437" s="9">
        <v>0</v>
      </c>
      <c r="AH437" s="9">
        <v>0</v>
      </c>
      <c r="AI437" s="9">
        <v>0</v>
      </c>
      <c r="AJ437" s="9">
        <f t="shared" si="14"/>
        <v>0</v>
      </c>
      <c r="AK437" s="45">
        <f t="shared" si="15"/>
        <v>0</v>
      </c>
      <c r="AL437" s="68">
        <v>0</v>
      </c>
      <c r="AM437" s="68">
        <v>0</v>
      </c>
    </row>
    <row r="438" spans="1:39" x14ac:dyDescent="0.2">
      <c r="A438" s="57" t="s">
        <v>2082</v>
      </c>
      <c r="B438" s="47">
        <v>46173</v>
      </c>
      <c r="C438" s="48"/>
      <c r="D438" s="48" t="s">
        <v>1623</v>
      </c>
      <c r="E438" s="49" t="s">
        <v>903</v>
      </c>
      <c r="F438" s="49" t="s">
        <v>904</v>
      </c>
      <c r="G438" s="47" t="e">
        <v>#N/A</v>
      </c>
      <c r="H438" s="47" t="s">
        <v>94</v>
      </c>
      <c r="I438" s="9" t="s">
        <v>902</v>
      </c>
      <c r="J438" s="40" t="s">
        <v>1665</v>
      </c>
      <c r="K438" s="9" t="s">
        <v>195</v>
      </c>
      <c r="L438" s="9" t="s">
        <v>32</v>
      </c>
      <c r="M438" s="11"/>
      <c r="N438" s="11"/>
      <c r="O438" s="50">
        <v>9.9</v>
      </c>
      <c r="R438" s="9">
        <f>IFERROR(VLOOKUP(E438,Sheet6!$A$2:$B$500,2,FALSE),0)</f>
        <v>0</v>
      </c>
      <c r="S438" s="41">
        <f>IFERROR(VLOOKUP(E438,Sheet6!$C$2:$D$35017,2,FALSE),0)</f>
        <v>0</v>
      </c>
      <c r="U438" s="9">
        <f>IFERROR(VLOOKUP(E438,Sheet2!$AA$1:$AB$975,2,FALSE),0)</f>
        <v>2</v>
      </c>
      <c r="V438" s="41">
        <f>IFERROR(VLOOKUP(E438,Sheet2!$AC$1:$AD$975,2,FALSE),0)</f>
        <v>43.98</v>
      </c>
      <c r="W438" s="42">
        <f>IFERROR(VLOOKUP(E438,Sheet2!$AE$1:$AF$975,2,FALSE),0)</f>
        <v>55</v>
      </c>
      <c r="X438" s="43">
        <f>IFERROR(VLOOKUP(E438,Sheet2!$AG$1:$AH$975,2,FALSE),0)</f>
        <v>0.2321</v>
      </c>
      <c r="Z438" s="60">
        <f>IFERROR(VLOOKUP(F438,Sheet2!$AA$1:$AB$975,2,FALSE),0)</f>
        <v>1</v>
      </c>
      <c r="AA438" s="64">
        <f>IFERROR(VLOOKUP(F438,Sheet2!$AC$1:$AD$975,2,FALSE),0)</f>
        <v>21.99</v>
      </c>
      <c r="AB438" s="65">
        <f>IFERROR(VLOOKUP(F438,Sheet2!$AE$2:$AF$6539,2,FALSE),0)</f>
        <v>55</v>
      </c>
      <c r="AC438" s="43">
        <f>IFERROR(VLOOKUP(F438,Sheet2!$AG$2:$AH$6539,2,FALSE),0)</f>
        <v>0.2321</v>
      </c>
      <c r="AE438" s="112">
        <v>17</v>
      </c>
      <c r="AF438" s="9">
        <v>5</v>
      </c>
      <c r="AG438" s="9">
        <v>0</v>
      </c>
      <c r="AH438" s="9">
        <v>0</v>
      </c>
      <c r="AI438" s="9">
        <v>5</v>
      </c>
      <c r="AJ438" s="9">
        <f t="shared" si="14"/>
        <v>22</v>
      </c>
      <c r="AK438" s="45">
        <f t="shared" si="15"/>
        <v>217.8</v>
      </c>
      <c r="AL438" s="68">
        <v>12</v>
      </c>
      <c r="AM438" s="68">
        <v>0</v>
      </c>
    </row>
    <row r="439" spans="1:39" x14ac:dyDescent="0.2">
      <c r="A439" s="57" t="s">
        <v>2082</v>
      </c>
      <c r="B439" s="47">
        <v>46173</v>
      </c>
      <c r="C439" s="48"/>
      <c r="D439" s="48" t="s">
        <v>1624</v>
      </c>
      <c r="E439" s="49" t="s">
        <v>905</v>
      </c>
      <c r="F439" s="49" t="s">
        <v>906</v>
      </c>
      <c r="G439" s="47" t="e">
        <v>#N/A</v>
      </c>
      <c r="H439" s="47" t="s">
        <v>94</v>
      </c>
      <c r="I439" s="9" t="s">
        <v>902</v>
      </c>
      <c r="J439" s="40" t="s">
        <v>1665</v>
      </c>
      <c r="K439" s="9" t="s">
        <v>195</v>
      </c>
      <c r="L439" s="9" t="s">
        <v>35</v>
      </c>
      <c r="M439" s="11"/>
      <c r="N439" s="11"/>
      <c r="O439" s="50">
        <v>9.9</v>
      </c>
      <c r="R439" s="9">
        <f>IFERROR(VLOOKUP(E439,Sheet6!$A$2:$B$500,2,FALSE),0)</f>
        <v>3</v>
      </c>
      <c r="S439" s="41">
        <f>IFERROR(VLOOKUP(E439,Sheet6!$C$2:$D$35017,2,FALSE),0)</f>
        <v>66</v>
      </c>
      <c r="U439" s="9">
        <f>IFERROR(VLOOKUP(E439,Sheet2!$AA$1:$AB$975,2,FALSE),0)</f>
        <v>3</v>
      </c>
      <c r="V439" s="41">
        <f>IFERROR(VLOOKUP(E439,Sheet2!$AC$1:$AD$975,2,FALSE),0)</f>
        <v>65.97</v>
      </c>
      <c r="W439" s="42">
        <f>IFERROR(VLOOKUP(E439,Sheet2!$AE$1:$AF$975,2,FALSE),0)</f>
        <v>24</v>
      </c>
      <c r="X439" s="43">
        <f>IFERROR(VLOOKUP(E439,Sheet2!$AG$1:$AH$975,2,FALSE),0)</f>
        <v>1</v>
      </c>
      <c r="Z439" s="60">
        <f>IFERROR(VLOOKUP(F439,Sheet2!$AA$1:$AB$975,2,FALSE),0)</f>
        <v>3</v>
      </c>
      <c r="AA439" s="64">
        <f>IFERROR(VLOOKUP(F439,Sheet2!$AC$1:$AD$975,2,FALSE),0)</f>
        <v>65.97</v>
      </c>
      <c r="AB439" s="65">
        <f>IFERROR(VLOOKUP(F439,Sheet2!$AE$2:$AF$6539,2,FALSE),0)</f>
        <v>24</v>
      </c>
      <c r="AC439" s="43">
        <f>IFERROR(VLOOKUP(F439,Sheet2!$AG$2:$AH$6539,2,FALSE),0)</f>
        <v>1</v>
      </c>
      <c r="AE439" s="112">
        <v>3</v>
      </c>
      <c r="AF439" s="9">
        <v>0</v>
      </c>
      <c r="AG439" s="9">
        <v>0</v>
      </c>
      <c r="AH439" s="9">
        <v>5</v>
      </c>
      <c r="AI439" s="9">
        <v>5</v>
      </c>
      <c r="AJ439" s="9">
        <f t="shared" si="14"/>
        <v>8</v>
      </c>
      <c r="AK439" s="45">
        <f t="shared" si="15"/>
        <v>79.2</v>
      </c>
      <c r="AL439" s="68">
        <v>12</v>
      </c>
      <c r="AM439" s="68">
        <v>0</v>
      </c>
    </row>
    <row r="440" spans="1:39" x14ac:dyDescent="0.2">
      <c r="A440" s="57" t="s">
        <v>2082</v>
      </c>
      <c r="B440" s="47">
        <v>46173</v>
      </c>
      <c r="C440" s="48"/>
      <c r="D440" s="48" t="s">
        <v>1625</v>
      </c>
      <c r="E440" s="49" t="s">
        <v>907</v>
      </c>
      <c r="F440" s="49" t="s">
        <v>908</v>
      </c>
      <c r="G440" s="47" t="e">
        <v>#N/A</v>
      </c>
      <c r="H440" s="47" t="s">
        <v>94</v>
      </c>
      <c r="I440" s="9" t="s">
        <v>909</v>
      </c>
      <c r="J440" s="40" t="s">
        <v>1727</v>
      </c>
      <c r="K440" s="9" t="s">
        <v>41</v>
      </c>
      <c r="L440" s="9" t="s">
        <v>29</v>
      </c>
      <c r="M440" s="11"/>
      <c r="N440" s="11"/>
      <c r="O440" s="50">
        <v>8.1</v>
      </c>
      <c r="R440" s="9">
        <f>IFERROR(VLOOKUP(E440,Sheet6!$A$2:$B$500,2,FALSE),0)</f>
        <v>3</v>
      </c>
      <c r="S440" s="41">
        <f>IFERROR(VLOOKUP(E440,Sheet6!$C$2:$D$35017,2,FALSE),0)</f>
        <v>45.9</v>
      </c>
      <c r="U440" s="9">
        <f>IFERROR(VLOOKUP(E440,Sheet2!$AA$1:$AB$975,2,FALSE),0)</f>
        <v>6</v>
      </c>
      <c r="V440" s="41">
        <f>IFERROR(VLOOKUP(E440,Sheet2!$AC$1:$AD$975,2,FALSE),0)</f>
        <v>108</v>
      </c>
      <c r="W440" s="42">
        <f>IFERROR(VLOOKUP(E440,Sheet2!$AE$1:$AF$975,2,FALSE),0)</f>
        <v>124</v>
      </c>
      <c r="X440" s="43">
        <f>IFERROR(VLOOKUP(E440,Sheet2!$AG$1:$AH$975,2,FALSE),0)</f>
        <v>0.36049999999999999</v>
      </c>
      <c r="Z440" s="60">
        <f>IFERROR(VLOOKUP(F440,Sheet2!$AA$1:$AB$975,2,FALSE),0)</f>
        <v>0</v>
      </c>
      <c r="AA440" s="64">
        <f>IFERROR(VLOOKUP(F440,Sheet2!$AC$1:$AD$975,2,FALSE),0)</f>
        <v>0</v>
      </c>
      <c r="AB440" s="65">
        <f>IFERROR(VLOOKUP(F440,Sheet2!$AE$2:$AF$6539,2,FALSE),0)</f>
        <v>0</v>
      </c>
      <c r="AC440" s="43">
        <f>IFERROR(VLOOKUP(F440,Sheet2!$AG$2:$AH$6539,2,FALSE),0)</f>
        <v>0</v>
      </c>
      <c r="AE440" s="112">
        <v>2</v>
      </c>
      <c r="AF440" s="9">
        <v>0</v>
      </c>
      <c r="AG440" s="9">
        <v>0</v>
      </c>
      <c r="AH440" s="9">
        <v>0</v>
      </c>
      <c r="AI440" s="9">
        <v>0</v>
      </c>
      <c r="AJ440" s="9">
        <f t="shared" si="14"/>
        <v>2</v>
      </c>
      <c r="AK440" s="45">
        <f t="shared" si="15"/>
        <v>16.2</v>
      </c>
      <c r="AL440" s="68">
        <v>30</v>
      </c>
      <c r="AM440" s="68">
        <v>0</v>
      </c>
    </row>
    <row r="441" spans="1:39" x14ac:dyDescent="0.2">
      <c r="A441" s="57" t="s">
        <v>2082</v>
      </c>
      <c r="B441" s="47">
        <v>46173</v>
      </c>
      <c r="C441" s="48"/>
      <c r="D441" s="48" t="s">
        <v>1626</v>
      </c>
      <c r="E441" s="49" t="s">
        <v>910</v>
      </c>
      <c r="F441" s="49" t="s">
        <v>911</v>
      </c>
      <c r="G441" s="47" t="s">
        <v>960</v>
      </c>
      <c r="H441" s="47" t="s">
        <v>94</v>
      </c>
      <c r="I441" s="9" t="s">
        <v>909</v>
      </c>
      <c r="J441" s="40" t="s">
        <v>1727</v>
      </c>
      <c r="K441" s="9" t="s">
        <v>41</v>
      </c>
      <c r="L441" s="9" t="s">
        <v>32</v>
      </c>
      <c r="M441" s="11"/>
      <c r="N441" s="11"/>
      <c r="O441" s="50">
        <v>8.1</v>
      </c>
      <c r="R441" s="9">
        <f>IFERROR(VLOOKUP(E441,Sheet6!$A$2:$B$500,2,FALSE),0)</f>
        <v>1</v>
      </c>
      <c r="S441" s="41">
        <f>IFERROR(VLOOKUP(E441,Sheet6!$C$2:$D$35017,2,FALSE),0)</f>
        <v>18</v>
      </c>
      <c r="U441" s="9">
        <f>IFERROR(VLOOKUP(E441,Sheet2!$AA$1:$AB$975,2,FALSE),0)</f>
        <v>0</v>
      </c>
      <c r="V441" s="41">
        <f>IFERROR(VLOOKUP(E441,Sheet2!$AC$1:$AD$975,2,FALSE),0)</f>
        <v>0</v>
      </c>
      <c r="W441" s="42">
        <f>IFERROR(VLOOKUP(E441,Sheet2!$AE$1:$AF$975,2,FALSE),0)</f>
        <v>0</v>
      </c>
      <c r="X441" s="43">
        <f>IFERROR(VLOOKUP(E441,Sheet2!$AG$1:$AH$975,2,FALSE),0)</f>
        <v>0</v>
      </c>
      <c r="Z441" s="60">
        <f>IFERROR(VLOOKUP(F441,Sheet2!$AA$1:$AB$975,2,FALSE),0)</f>
        <v>0</v>
      </c>
      <c r="AA441" s="64">
        <f>IFERROR(VLOOKUP(F441,Sheet2!$AC$1:$AD$975,2,FALSE),0)</f>
        <v>0</v>
      </c>
      <c r="AB441" s="65">
        <f>IFERROR(VLOOKUP(F441,Sheet2!$AE$2:$AF$6539,2,FALSE),0)</f>
        <v>0</v>
      </c>
      <c r="AC441" s="43">
        <f>IFERROR(VLOOKUP(F441,Sheet2!$AG$2:$AH$6539,2,FALSE),0)</f>
        <v>0</v>
      </c>
      <c r="AE441" s="112">
        <v>1</v>
      </c>
      <c r="AF441" s="9">
        <v>0</v>
      </c>
      <c r="AG441" s="9">
        <v>0</v>
      </c>
      <c r="AH441" s="9">
        <v>0</v>
      </c>
      <c r="AI441" s="9">
        <v>0</v>
      </c>
      <c r="AJ441" s="9">
        <f t="shared" si="14"/>
        <v>1</v>
      </c>
      <c r="AK441" s="45">
        <f t="shared" si="15"/>
        <v>8.1</v>
      </c>
      <c r="AL441" s="68">
        <v>6</v>
      </c>
      <c r="AM441" s="68">
        <v>0</v>
      </c>
    </row>
    <row r="442" spans="1:39" x14ac:dyDescent="0.2">
      <c r="A442" s="57" t="s">
        <v>2082</v>
      </c>
      <c r="B442" s="47">
        <v>46173</v>
      </c>
      <c r="C442" s="48"/>
      <c r="D442" s="48" t="s">
        <v>1627</v>
      </c>
      <c r="E442" s="49" t="s">
        <v>912</v>
      </c>
      <c r="F442" s="49" t="s">
        <v>913</v>
      </c>
      <c r="G442" s="47" t="e">
        <v>#N/A</v>
      </c>
      <c r="H442" s="47" t="s">
        <v>94</v>
      </c>
      <c r="I442" s="9" t="s">
        <v>909</v>
      </c>
      <c r="J442" s="40" t="s">
        <v>1727</v>
      </c>
      <c r="K442" s="9" t="s">
        <v>41</v>
      </c>
      <c r="L442" s="9" t="s">
        <v>35</v>
      </c>
      <c r="M442" s="11"/>
      <c r="N442" s="11"/>
      <c r="O442" s="50">
        <v>8.1</v>
      </c>
      <c r="R442" s="9">
        <f>IFERROR(VLOOKUP(E442,Sheet6!$A$2:$B$500,2,FALSE),0)</f>
        <v>0</v>
      </c>
      <c r="S442" s="41">
        <f>IFERROR(VLOOKUP(E442,Sheet6!$C$2:$D$35017,2,FALSE),0)</f>
        <v>0</v>
      </c>
      <c r="U442" s="9">
        <f>IFERROR(VLOOKUP(E442,Sheet2!$AA$1:$AB$975,2,FALSE),0)</f>
        <v>13</v>
      </c>
      <c r="V442" s="41">
        <f>IFERROR(VLOOKUP(E442,Sheet2!$AC$1:$AD$975,2,FALSE),0)</f>
        <v>234</v>
      </c>
      <c r="W442" s="42">
        <f>IFERROR(VLOOKUP(E442,Sheet2!$AE$1:$AF$975,2,FALSE),0)</f>
        <v>114</v>
      </c>
      <c r="X442" s="43">
        <f>IFERROR(VLOOKUP(E442,Sheet2!$AG$1:$AH$975,2,FALSE),0)</f>
        <v>0.51680000000000004</v>
      </c>
      <c r="Z442" s="60">
        <f>IFERROR(VLOOKUP(F442,Sheet2!$AA$1:$AB$975,2,FALSE),0)</f>
        <v>0</v>
      </c>
      <c r="AA442" s="64">
        <f>IFERROR(VLOOKUP(F442,Sheet2!$AC$1:$AD$975,2,FALSE),0)</f>
        <v>0</v>
      </c>
      <c r="AB442" s="65">
        <f>IFERROR(VLOOKUP(F442,Sheet2!$AE$2:$AF$6539,2,FALSE),0)</f>
        <v>0</v>
      </c>
      <c r="AC442" s="43">
        <f>IFERROR(VLOOKUP(F442,Sheet2!$AG$2:$AH$6539,2,FALSE),0)</f>
        <v>0</v>
      </c>
      <c r="AE442" s="112">
        <v>0</v>
      </c>
      <c r="AF442" s="9">
        <v>0</v>
      </c>
      <c r="AG442" s="9">
        <v>0</v>
      </c>
      <c r="AH442" s="9">
        <v>0</v>
      </c>
      <c r="AI442" s="9">
        <v>0</v>
      </c>
      <c r="AJ442" s="9">
        <f t="shared" si="14"/>
        <v>0</v>
      </c>
      <c r="AK442" s="45">
        <f t="shared" si="15"/>
        <v>0</v>
      </c>
      <c r="AL442" s="68">
        <v>6</v>
      </c>
      <c r="AM442" s="68">
        <v>0</v>
      </c>
    </row>
    <row r="443" spans="1:39" x14ac:dyDescent="0.2">
      <c r="A443" s="57" t="s">
        <v>2082</v>
      </c>
      <c r="B443" s="47">
        <v>46173</v>
      </c>
      <c r="C443" s="48"/>
      <c r="D443" s="48" t="s">
        <v>1628</v>
      </c>
      <c r="E443" s="49" t="s">
        <v>914</v>
      </c>
      <c r="F443" s="49" t="s">
        <v>915</v>
      </c>
      <c r="G443" s="47"/>
      <c r="H443" s="47"/>
      <c r="I443" s="9" t="s">
        <v>909</v>
      </c>
      <c r="J443" s="40" t="s">
        <v>1727</v>
      </c>
      <c r="K443" s="9" t="s">
        <v>195</v>
      </c>
      <c r="L443" s="9" t="s">
        <v>29</v>
      </c>
      <c r="M443" s="11"/>
      <c r="N443" s="11"/>
      <c r="O443" s="50">
        <v>8.1</v>
      </c>
      <c r="R443" s="9">
        <f>IFERROR(VLOOKUP(E443,Sheet6!$A$2:$B$500,2,FALSE),0)</f>
        <v>3</v>
      </c>
      <c r="S443" s="41">
        <f>IFERROR(VLOOKUP(E443,Sheet6!$C$2:$D$35017,2,FALSE),0)</f>
        <v>54</v>
      </c>
      <c r="U443" s="9">
        <f>IFERROR(VLOOKUP(E443,Sheet2!$AA$1:$AB$975,2,FALSE),0)</f>
        <v>0</v>
      </c>
      <c r="V443" s="41">
        <f>IFERROR(VLOOKUP(E443,Sheet2!$AC$1:$AD$975,2,FALSE),0)</f>
        <v>0</v>
      </c>
      <c r="W443" s="42">
        <f>IFERROR(VLOOKUP(E443,Sheet2!$AE$1:$AF$975,2,FALSE),0)</f>
        <v>0</v>
      </c>
      <c r="X443" s="43">
        <f>IFERROR(VLOOKUP(E443,Sheet2!$AG$1:$AH$975,2,FALSE),0)</f>
        <v>0</v>
      </c>
      <c r="Z443" s="60">
        <f>IFERROR(VLOOKUP(F443,Sheet2!$AA$1:$AB$975,2,FALSE),0)</f>
        <v>0</v>
      </c>
      <c r="AA443" s="64">
        <f>IFERROR(VLOOKUP(F443,Sheet2!$AC$1:$AD$975,2,FALSE),0)</f>
        <v>0</v>
      </c>
      <c r="AB443" s="65">
        <f>IFERROR(VLOOKUP(F443,Sheet2!$AE$2:$AF$6539,2,FALSE),0)</f>
        <v>0</v>
      </c>
      <c r="AC443" s="43">
        <f>IFERROR(VLOOKUP(F443,Sheet2!$AG$2:$AH$6539,2,FALSE),0)</f>
        <v>0</v>
      </c>
      <c r="AE443" s="112">
        <v>3</v>
      </c>
      <c r="AF443" s="9">
        <v>0</v>
      </c>
      <c r="AG443" s="9">
        <v>0</v>
      </c>
      <c r="AH443" s="9">
        <v>0</v>
      </c>
      <c r="AI443" s="9">
        <v>0</v>
      </c>
      <c r="AJ443" s="9">
        <f t="shared" ref="AJ443:AJ463" si="16">SUM(AE443+AI443)</f>
        <v>3</v>
      </c>
      <c r="AK443" s="45">
        <f t="shared" ref="AK443:AK463" si="17">SUM(AJ443*O443)</f>
        <v>24.299999999999997</v>
      </c>
      <c r="AL443" s="68">
        <v>12</v>
      </c>
      <c r="AM443" s="68">
        <v>0</v>
      </c>
    </row>
    <row r="444" spans="1:39" x14ac:dyDescent="0.2">
      <c r="A444" s="57" t="s">
        <v>2082</v>
      </c>
      <c r="B444" s="47">
        <v>46173</v>
      </c>
      <c r="C444" s="48"/>
      <c r="D444" s="48" t="s">
        <v>1629</v>
      </c>
      <c r="E444" s="49" t="s">
        <v>916</v>
      </c>
      <c r="F444" s="49" t="s">
        <v>917</v>
      </c>
      <c r="G444" s="47"/>
      <c r="H444" s="47"/>
      <c r="I444" s="9" t="s">
        <v>909</v>
      </c>
      <c r="J444" s="40" t="s">
        <v>1727</v>
      </c>
      <c r="K444" s="9" t="s">
        <v>195</v>
      </c>
      <c r="L444" s="9" t="s">
        <v>32</v>
      </c>
      <c r="M444" s="11"/>
      <c r="N444" s="11"/>
      <c r="O444" s="50">
        <v>8.1</v>
      </c>
      <c r="R444" s="9">
        <f>IFERROR(VLOOKUP(E444,Sheet6!$A$2:$B$500,2,FALSE),0)</f>
        <v>0</v>
      </c>
      <c r="S444" s="41">
        <f>IFERROR(VLOOKUP(E444,Sheet6!$C$2:$D$35017,2,FALSE),0)</f>
        <v>0</v>
      </c>
      <c r="U444" s="9">
        <f>IFERROR(VLOOKUP(E444,Sheet2!$AA$1:$AB$975,2,FALSE),0)</f>
        <v>0</v>
      </c>
      <c r="V444" s="41">
        <f>IFERROR(VLOOKUP(E444,Sheet2!$AC$1:$AD$975,2,FALSE),0)</f>
        <v>0</v>
      </c>
      <c r="W444" s="42">
        <f>IFERROR(VLOOKUP(E444,Sheet2!$AE$1:$AF$975,2,FALSE),0)</f>
        <v>0</v>
      </c>
      <c r="X444" s="43">
        <f>IFERROR(VLOOKUP(E444,Sheet2!$AG$1:$AH$975,2,FALSE),0)</f>
        <v>0</v>
      </c>
      <c r="Z444" s="60">
        <f>IFERROR(VLOOKUP(F444,Sheet2!$AA$1:$AB$975,2,FALSE),0)</f>
        <v>0</v>
      </c>
      <c r="AA444" s="64">
        <f>IFERROR(VLOOKUP(F444,Sheet2!$AC$1:$AD$975,2,FALSE),0)</f>
        <v>0</v>
      </c>
      <c r="AB444" s="65">
        <f>IFERROR(VLOOKUP(F444,Sheet2!$AE$2:$AF$6539,2,FALSE),0)</f>
        <v>0</v>
      </c>
      <c r="AC444" s="43">
        <f>IFERROR(VLOOKUP(F444,Sheet2!$AG$2:$AH$6539,2,FALSE),0)</f>
        <v>0</v>
      </c>
      <c r="AE444" s="112">
        <v>2</v>
      </c>
      <c r="AF444" s="9">
        <v>0</v>
      </c>
      <c r="AG444" s="9">
        <v>0</v>
      </c>
      <c r="AH444" s="9">
        <v>0</v>
      </c>
      <c r="AI444" s="9">
        <v>0</v>
      </c>
      <c r="AJ444" s="9">
        <f t="shared" si="16"/>
        <v>2</v>
      </c>
      <c r="AK444" s="45">
        <f t="shared" si="17"/>
        <v>16.2</v>
      </c>
      <c r="AL444" s="68">
        <v>6</v>
      </c>
      <c r="AM444" s="68">
        <v>0</v>
      </c>
    </row>
    <row r="445" spans="1:39" x14ac:dyDescent="0.2">
      <c r="A445" s="57" t="s">
        <v>2082</v>
      </c>
      <c r="B445" s="47">
        <v>46173</v>
      </c>
      <c r="C445" s="48"/>
      <c r="D445" s="48" t="s">
        <v>1630</v>
      </c>
      <c r="E445" s="49" t="s">
        <v>918</v>
      </c>
      <c r="F445" s="49" t="s">
        <v>919</v>
      </c>
      <c r="G445" s="47"/>
      <c r="H445" s="47"/>
      <c r="I445" s="9" t="s">
        <v>909</v>
      </c>
      <c r="J445" s="40" t="s">
        <v>1727</v>
      </c>
      <c r="K445" s="9" t="s">
        <v>881</v>
      </c>
      <c r="L445" s="9" t="s">
        <v>29</v>
      </c>
      <c r="M445" s="11"/>
      <c r="N445" s="11"/>
      <c r="O445" s="50">
        <v>8.1</v>
      </c>
      <c r="R445" s="9">
        <f>IFERROR(VLOOKUP(E445,Sheet6!$A$2:$B$500,2,FALSE),0)</f>
        <v>0</v>
      </c>
      <c r="S445" s="41">
        <f>IFERROR(VLOOKUP(E445,Sheet6!$C$2:$D$35017,2,FALSE),0)</f>
        <v>0</v>
      </c>
      <c r="U445" s="9">
        <f>IFERROR(VLOOKUP(E445,Sheet2!$AA$1:$AB$975,2,FALSE),0)</f>
        <v>0</v>
      </c>
      <c r="V445" s="41">
        <f>IFERROR(VLOOKUP(E445,Sheet2!$AC$1:$AD$975,2,FALSE),0)</f>
        <v>0</v>
      </c>
      <c r="W445" s="42">
        <f>IFERROR(VLOOKUP(E445,Sheet2!$AE$1:$AF$975,2,FALSE),0)</f>
        <v>0</v>
      </c>
      <c r="X445" s="43">
        <f>IFERROR(VLOOKUP(E445,Sheet2!$AG$1:$AH$975,2,FALSE),0)</f>
        <v>0</v>
      </c>
      <c r="Z445" s="60">
        <f>IFERROR(VLOOKUP(F445,Sheet2!$AA$1:$AB$975,2,FALSE),0)</f>
        <v>3</v>
      </c>
      <c r="AA445" s="64">
        <f>IFERROR(VLOOKUP(F445,Sheet2!$AC$1:$AD$975,2,FALSE),0)</f>
        <v>54</v>
      </c>
      <c r="AB445" s="65">
        <f>IFERROR(VLOOKUP(F445,Sheet2!$AE$2:$AF$6539,2,FALSE),0)</f>
        <v>155</v>
      </c>
      <c r="AC445" s="43">
        <f>IFERROR(VLOOKUP(F445,Sheet2!$AG$2:$AH$6539,2,FALSE),0)</f>
        <v>6.9900000000000004E-2</v>
      </c>
      <c r="AE445" s="112">
        <v>10</v>
      </c>
      <c r="AF445" s="9">
        <v>0</v>
      </c>
      <c r="AG445" s="9">
        <v>0</v>
      </c>
      <c r="AH445" s="9">
        <v>0</v>
      </c>
      <c r="AI445" s="9">
        <v>0</v>
      </c>
      <c r="AJ445" s="9">
        <f t="shared" si="16"/>
        <v>10</v>
      </c>
      <c r="AK445" s="45">
        <f t="shared" si="17"/>
        <v>81</v>
      </c>
      <c r="AL445" s="68">
        <v>30</v>
      </c>
      <c r="AM445" s="68">
        <v>0</v>
      </c>
    </row>
    <row r="446" spans="1:39" x14ac:dyDescent="0.2">
      <c r="A446" s="57" t="s">
        <v>2082</v>
      </c>
      <c r="B446" s="47">
        <v>46173</v>
      </c>
      <c r="C446" s="48"/>
      <c r="D446" s="48" t="s">
        <v>1631</v>
      </c>
      <c r="E446" s="49" t="s">
        <v>920</v>
      </c>
      <c r="F446" s="49" t="s">
        <v>921</v>
      </c>
      <c r="G446" s="47"/>
      <c r="H446" s="47"/>
      <c r="I446" s="9" t="s">
        <v>909</v>
      </c>
      <c r="J446" s="40" t="s">
        <v>1727</v>
      </c>
      <c r="K446" s="9" t="s">
        <v>881</v>
      </c>
      <c r="L446" s="9" t="s">
        <v>32</v>
      </c>
      <c r="M446" s="11"/>
      <c r="N446" s="11"/>
      <c r="O446" s="50">
        <v>8.1</v>
      </c>
      <c r="R446" s="9">
        <f>IFERROR(VLOOKUP(E446,Sheet6!$A$2:$B$500,2,FALSE),0)</f>
        <v>0</v>
      </c>
      <c r="S446" s="41">
        <f>IFERROR(VLOOKUP(E446,Sheet6!$C$2:$D$35017,2,FALSE),0)</f>
        <v>0</v>
      </c>
      <c r="U446" s="9">
        <f>IFERROR(VLOOKUP(E446,Sheet2!$AA$1:$AB$975,2,FALSE),0)</f>
        <v>0</v>
      </c>
      <c r="V446" s="41">
        <f>IFERROR(VLOOKUP(E446,Sheet2!$AC$1:$AD$975,2,FALSE),0)</f>
        <v>0</v>
      </c>
      <c r="W446" s="42">
        <f>IFERROR(VLOOKUP(E446,Sheet2!$AE$1:$AF$975,2,FALSE),0)</f>
        <v>0</v>
      </c>
      <c r="X446" s="43">
        <f>IFERROR(VLOOKUP(E446,Sheet2!$AG$1:$AH$975,2,FALSE),0)</f>
        <v>0</v>
      </c>
      <c r="Z446" s="60">
        <f>IFERROR(VLOOKUP(F446,Sheet2!$AA$1:$AB$975,2,FALSE),0)</f>
        <v>0</v>
      </c>
      <c r="AA446" s="64">
        <f>IFERROR(VLOOKUP(F446,Sheet2!$AC$1:$AD$975,2,FALSE),0)</f>
        <v>0</v>
      </c>
      <c r="AB446" s="65">
        <f>IFERROR(VLOOKUP(F446,Sheet2!$AE$2:$AF$6539,2,FALSE),0)</f>
        <v>0</v>
      </c>
      <c r="AC446" s="43">
        <f>IFERROR(VLOOKUP(F446,Sheet2!$AG$2:$AH$6539,2,FALSE),0)</f>
        <v>0</v>
      </c>
      <c r="AE446" s="112">
        <v>0</v>
      </c>
      <c r="AF446" s="9">
        <v>0</v>
      </c>
      <c r="AG446" s="9">
        <v>0</v>
      </c>
      <c r="AH446" s="9">
        <v>0</v>
      </c>
      <c r="AI446" s="9">
        <v>0</v>
      </c>
      <c r="AJ446" s="9">
        <f t="shared" si="16"/>
        <v>0</v>
      </c>
      <c r="AK446" s="45">
        <f t="shared" si="17"/>
        <v>0</v>
      </c>
      <c r="AL446" s="68">
        <v>12</v>
      </c>
      <c r="AM446" s="68">
        <v>0</v>
      </c>
    </row>
    <row r="447" spans="1:39" x14ac:dyDescent="0.2">
      <c r="A447" s="57" t="s">
        <v>2082</v>
      </c>
      <c r="B447" s="47">
        <v>46173</v>
      </c>
      <c r="C447" s="48"/>
      <c r="D447" s="48" t="s">
        <v>1632</v>
      </c>
      <c r="E447" s="49" t="s">
        <v>922</v>
      </c>
      <c r="F447" s="49" t="s">
        <v>923</v>
      </c>
      <c r="G447" s="47"/>
      <c r="H447" s="47"/>
      <c r="I447" s="9" t="s">
        <v>909</v>
      </c>
      <c r="J447" s="40" t="s">
        <v>1727</v>
      </c>
      <c r="K447" s="9" t="s">
        <v>881</v>
      </c>
      <c r="L447" s="9" t="s">
        <v>35</v>
      </c>
      <c r="M447" s="11"/>
      <c r="N447" s="11"/>
      <c r="O447" s="50">
        <v>8.1</v>
      </c>
      <c r="R447" s="9">
        <f>IFERROR(VLOOKUP(E447,Sheet6!$A$2:$B$500,2,FALSE),0)</f>
        <v>0</v>
      </c>
      <c r="S447" s="41">
        <f>IFERROR(VLOOKUP(E447,Sheet6!$C$2:$D$35017,2,FALSE),0)</f>
        <v>0</v>
      </c>
      <c r="U447" s="9">
        <f>IFERROR(VLOOKUP(E447,Sheet2!$AA$1:$AB$975,2,FALSE),0)</f>
        <v>22</v>
      </c>
      <c r="V447" s="41">
        <f>IFERROR(VLOOKUP(E447,Sheet2!$AC$1:$AD$975,2,FALSE),0)</f>
        <v>396</v>
      </c>
      <c r="W447" s="42">
        <f>IFERROR(VLOOKUP(E447,Sheet2!$AE$1:$AF$975,2,FALSE),0)</f>
        <v>128</v>
      </c>
      <c r="X447" s="43">
        <f>IFERROR(VLOOKUP(E447,Sheet2!$AG$1:$AH$975,2,FALSE),0)</f>
        <v>0.58330000000000004</v>
      </c>
      <c r="Z447" s="60">
        <f>IFERROR(VLOOKUP(F447,Sheet2!$AA$1:$AB$975,2,FALSE),0)</f>
        <v>0</v>
      </c>
      <c r="AA447" s="64">
        <f>IFERROR(VLOOKUP(F447,Sheet2!$AC$1:$AD$975,2,FALSE),0)</f>
        <v>0</v>
      </c>
      <c r="AB447" s="65">
        <f>IFERROR(VLOOKUP(F447,Sheet2!$AE$2:$AF$6539,2,FALSE),0)</f>
        <v>0</v>
      </c>
      <c r="AC447" s="43">
        <f>IFERROR(VLOOKUP(F447,Sheet2!$AG$2:$AH$6539,2,FALSE),0)</f>
        <v>0</v>
      </c>
      <c r="AE447" s="112">
        <v>0</v>
      </c>
      <c r="AF447" s="9">
        <v>0</v>
      </c>
      <c r="AG447" s="9">
        <v>0</v>
      </c>
      <c r="AH447" s="9">
        <v>0</v>
      </c>
      <c r="AI447" s="9">
        <v>0</v>
      </c>
      <c r="AJ447" s="9">
        <f t="shared" si="16"/>
        <v>0</v>
      </c>
      <c r="AK447" s="45">
        <f t="shared" si="17"/>
        <v>0</v>
      </c>
      <c r="AL447" s="68">
        <v>12</v>
      </c>
      <c r="AM447" s="68">
        <v>0</v>
      </c>
    </row>
    <row r="448" spans="1:39" x14ac:dyDescent="0.2">
      <c r="A448" s="57" t="s">
        <v>2082</v>
      </c>
      <c r="B448" s="47">
        <v>46173</v>
      </c>
      <c r="C448" s="48"/>
      <c r="D448" s="48" t="s">
        <v>1633</v>
      </c>
      <c r="E448" s="49" t="s">
        <v>924</v>
      </c>
      <c r="F448" s="49" t="s">
        <v>925</v>
      </c>
      <c r="G448" s="7"/>
      <c r="H448" s="7"/>
      <c r="I448" s="9" t="s">
        <v>926</v>
      </c>
      <c r="J448" s="40" t="s">
        <v>1725</v>
      </c>
      <c r="K448" s="9" t="s">
        <v>927</v>
      </c>
      <c r="L448" s="9" t="s">
        <v>32</v>
      </c>
      <c r="M448" s="11"/>
      <c r="N448" s="11"/>
      <c r="O448" s="50">
        <v>15.110999999999999</v>
      </c>
      <c r="R448" s="9">
        <f>IFERROR(VLOOKUP(E448,Sheet6!$A$2:$B$500,2,FALSE),0)</f>
        <v>0</v>
      </c>
      <c r="S448" s="41">
        <f>IFERROR(VLOOKUP(E448,Sheet6!$C$2:$D$35017,2,FALSE),0)</f>
        <v>0</v>
      </c>
      <c r="U448" s="9">
        <f>IFERROR(VLOOKUP(E448,Sheet2!$AA$1:$AB$975,2,FALSE),0)</f>
        <v>0</v>
      </c>
      <c r="V448" s="41">
        <f>IFERROR(VLOOKUP(E448,Sheet2!$AC$1:$AD$975,2,FALSE),0)</f>
        <v>0</v>
      </c>
      <c r="W448" s="42">
        <f>IFERROR(VLOOKUP(E448,Sheet2!$AE$1:$AF$975,2,FALSE),0)</f>
        <v>0</v>
      </c>
      <c r="X448" s="43">
        <f>IFERROR(VLOOKUP(E448,Sheet2!$AG$1:$AH$975,2,FALSE),0)</f>
        <v>0</v>
      </c>
      <c r="Z448" s="60">
        <f>IFERROR(VLOOKUP(F448,Sheet2!$AA$1:$AB$975,2,FALSE),0)</f>
        <v>23</v>
      </c>
      <c r="AA448" s="64">
        <f>IFERROR(VLOOKUP(F448,Sheet2!$AC$1:$AD$975,2,FALSE),0)</f>
        <v>804.77</v>
      </c>
      <c r="AB448" s="65">
        <f>IFERROR(VLOOKUP(F448,Sheet2!$AE$2:$AF$6539,2,FALSE),0)</f>
        <v>204</v>
      </c>
      <c r="AC448" s="43">
        <f>IFERROR(VLOOKUP(F448,Sheet2!$AG$2:$AH$6539,2,FALSE),0)</f>
        <v>0.44900000000000001</v>
      </c>
      <c r="AE448" s="112">
        <v>11</v>
      </c>
      <c r="AF448" s="9">
        <v>0</v>
      </c>
      <c r="AG448" s="9">
        <v>0</v>
      </c>
      <c r="AH448" s="9">
        <v>0</v>
      </c>
      <c r="AI448" s="9">
        <v>0</v>
      </c>
      <c r="AJ448" s="9">
        <f t="shared" si="16"/>
        <v>11</v>
      </c>
      <c r="AK448" s="45">
        <f t="shared" si="17"/>
        <v>166.22099999999998</v>
      </c>
      <c r="AL448" s="68">
        <v>60</v>
      </c>
      <c r="AM448" s="68">
        <v>0</v>
      </c>
    </row>
    <row r="449" spans="1:39" x14ac:dyDescent="0.2">
      <c r="A449" s="57" t="s">
        <v>2082</v>
      </c>
      <c r="B449" s="47">
        <v>46173</v>
      </c>
      <c r="C449" s="48"/>
      <c r="D449" s="48" t="s">
        <v>1634</v>
      </c>
      <c r="E449" s="49" t="s">
        <v>928</v>
      </c>
      <c r="F449" s="49" t="s">
        <v>929</v>
      </c>
      <c r="G449" s="7"/>
      <c r="H449" s="7"/>
      <c r="I449" s="9" t="s">
        <v>926</v>
      </c>
      <c r="J449" s="40" t="s">
        <v>1725</v>
      </c>
      <c r="K449" s="9" t="s">
        <v>930</v>
      </c>
      <c r="L449" s="9" t="s">
        <v>32</v>
      </c>
      <c r="M449" s="11"/>
      <c r="N449" s="11"/>
      <c r="O449" s="50">
        <v>15.110999999999999</v>
      </c>
      <c r="R449" s="9">
        <f>IFERROR(VLOOKUP(E449,Sheet6!$A$2:$B$500,2,FALSE),0)</f>
        <v>0</v>
      </c>
      <c r="S449" s="41">
        <f>IFERROR(VLOOKUP(E449,Sheet6!$C$2:$D$35017,2,FALSE),0)</f>
        <v>0</v>
      </c>
      <c r="U449" s="9">
        <f>IFERROR(VLOOKUP(E449,Sheet2!$AA$1:$AB$975,2,FALSE),0)</f>
        <v>0</v>
      </c>
      <c r="V449" s="41">
        <f>IFERROR(VLOOKUP(E449,Sheet2!$AC$1:$AD$975,2,FALSE),0)</f>
        <v>0</v>
      </c>
      <c r="W449" s="42">
        <f>IFERROR(VLOOKUP(E449,Sheet2!$AE$1:$AF$975,2,FALSE),0)</f>
        <v>0</v>
      </c>
      <c r="X449" s="43">
        <f>IFERROR(VLOOKUP(E449,Sheet2!$AG$1:$AH$975,2,FALSE),0)</f>
        <v>0</v>
      </c>
      <c r="Z449" s="60">
        <f>IFERROR(VLOOKUP(F449,Sheet2!$AA$1:$AB$975,2,FALSE),0)</f>
        <v>1</v>
      </c>
      <c r="AA449" s="64">
        <f>IFERROR(VLOOKUP(F449,Sheet2!$AC$1:$AD$975,2,FALSE),0)</f>
        <v>34.99</v>
      </c>
      <c r="AB449" s="65">
        <f>IFERROR(VLOOKUP(F449,Sheet2!$AE$2:$AF$6539,2,FALSE),0)</f>
        <v>43</v>
      </c>
      <c r="AC449" s="43">
        <f>IFERROR(VLOOKUP(F449,Sheet2!$AG$2:$AH$6539,2,FALSE),0)</f>
        <v>0.2407</v>
      </c>
      <c r="AE449" s="112">
        <v>9</v>
      </c>
      <c r="AF449" s="9">
        <v>1</v>
      </c>
      <c r="AG449" s="9">
        <v>4</v>
      </c>
      <c r="AH449" s="9">
        <v>0</v>
      </c>
      <c r="AI449" s="9">
        <v>5</v>
      </c>
      <c r="AJ449" s="9">
        <f t="shared" si="16"/>
        <v>14</v>
      </c>
      <c r="AK449" s="45">
        <f t="shared" si="17"/>
        <v>211.55399999999997</v>
      </c>
      <c r="AL449" s="68">
        <v>0</v>
      </c>
      <c r="AM449" s="68">
        <v>0</v>
      </c>
    </row>
    <row r="450" spans="1:39" x14ac:dyDescent="0.2">
      <c r="A450" s="57" t="s">
        <v>2082</v>
      </c>
      <c r="B450" s="47">
        <v>46173</v>
      </c>
      <c r="C450" s="108"/>
      <c r="D450" s="48" t="s">
        <v>1635</v>
      </c>
      <c r="E450" s="49" t="s">
        <v>931</v>
      </c>
      <c r="F450" s="49" t="s">
        <v>932</v>
      </c>
      <c r="G450" s="7"/>
      <c r="H450" s="7"/>
      <c r="I450" s="9" t="s">
        <v>926</v>
      </c>
      <c r="J450" s="40" t="s">
        <v>1725</v>
      </c>
      <c r="K450" s="9" t="s">
        <v>338</v>
      </c>
      <c r="L450" s="9" t="s">
        <v>32</v>
      </c>
      <c r="M450" s="11"/>
      <c r="N450" s="11"/>
      <c r="O450" s="50">
        <v>15.110999999999999</v>
      </c>
      <c r="R450" s="9">
        <f>IFERROR(VLOOKUP(E450,Sheet6!$A$2:$B$500,2,FALSE),0)</f>
        <v>0</v>
      </c>
      <c r="S450" s="41">
        <f>IFERROR(VLOOKUP(E450,Sheet6!$C$2:$D$35017,2,FALSE),0)</f>
        <v>0</v>
      </c>
      <c r="U450" s="9">
        <f>IFERROR(VLOOKUP(E450,Sheet2!$AA$1:$AB$975,2,FALSE),0)</f>
        <v>0</v>
      </c>
      <c r="V450" s="41">
        <f>IFERROR(VLOOKUP(E450,Sheet2!$AC$1:$AD$975,2,FALSE),0)</f>
        <v>0</v>
      </c>
      <c r="W450" s="42">
        <f>IFERROR(VLOOKUP(E450,Sheet2!$AE$1:$AF$975,2,FALSE),0)</f>
        <v>0</v>
      </c>
      <c r="X450" s="43">
        <f>IFERROR(VLOOKUP(E450,Sheet2!$AG$1:$AH$975,2,FALSE),0)</f>
        <v>0</v>
      </c>
      <c r="Z450" s="60">
        <f>IFERROR(VLOOKUP(F450,Sheet2!$AA$1:$AB$975,2,FALSE),0)</f>
        <v>0</v>
      </c>
      <c r="AA450" s="64">
        <f>IFERROR(VLOOKUP(F450,Sheet2!$AC$1:$AD$975,2,FALSE),0)</f>
        <v>0</v>
      </c>
      <c r="AB450" s="65">
        <f>IFERROR(VLOOKUP(F450,Sheet2!$AE$2:$AF$6539,2,FALSE),0)</f>
        <v>0</v>
      </c>
      <c r="AC450" s="43">
        <f>IFERROR(VLOOKUP(F450,Sheet2!$AG$2:$AH$6539,2,FALSE),0)</f>
        <v>0</v>
      </c>
      <c r="AE450" s="112">
        <v>8</v>
      </c>
      <c r="AF450" s="9">
        <v>0</v>
      </c>
      <c r="AG450" s="9">
        <v>0</v>
      </c>
      <c r="AH450" s="9">
        <v>0</v>
      </c>
      <c r="AI450" s="9">
        <v>0</v>
      </c>
      <c r="AJ450" s="9">
        <f t="shared" si="16"/>
        <v>8</v>
      </c>
      <c r="AK450" s="45">
        <f t="shared" si="17"/>
        <v>120.88799999999999</v>
      </c>
      <c r="AL450" s="68">
        <v>0</v>
      </c>
      <c r="AM450" s="68">
        <v>0</v>
      </c>
    </row>
    <row r="451" spans="1:39" x14ac:dyDescent="0.2">
      <c r="A451" s="57" t="s">
        <v>2082</v>
      </c>
      <c r="B451" s="47">
        <v>46173</v>
      </c>
      <c r="C451" s="108"/>
      <c r="D451" s="48" t="s">
        <v>1636</v>
      </c>
      <c r="E451" s="49" t="s">
        <v>1022</v>
      </c>
      <c r="F451" s="49" t="s">
        <v>1082</v>
      </c>
      <c r="G451" s="7"/>
      <c r="H451" s="7"/>
      <c r="I451" s="9" t="s">
        <v>1101</v>
      </c>
      <c r="J451" s="40" t="s">
        <v>1849</v>
      </c>
      <c r="K451" s="9" t="s">
        <v>1034</v>
      </c>
      <c r="L451" s="9" t="s">
        <v>29</v>
      </c>
      <c r="M451" s="11"/>
      <c r="N451" s="11"/>
      <c r="O451" s="50">
        <v>10.125</v>
      </c>
      <c r="R451" s="9">
        <f>IFERROR(VLOOKUP(E451,Sheet6!$A$2:$B$500,2,FALSE),0)</f>
        <v>0</v>
      </c>
      <c r="S451" s="41">
        <f>IFERROR(VLOOKUP(E451,Sheet6!$C$2:$D$35017,2,FALSE),0)</f>
        <v>0</v>
      </c>
      <c r="U451" s="9">
        <f>IFERROR(VLOOKUP(E451,Sheet2!$AA$1:$AB$975,2,FALSE),0)</f>
        <v>0</v>
      </c>
      <c r="V451" s="41">
        <f>IFERROR(VLOOKUP(E451,Sheet2!$AC$1:$AD$975,2,FALSE),0)</f>
        <v>0</v>
      </c>
      <c r="W451" s="42">
        <f>IFERROR(VLOOKUP(E451,Sheet2!$AE$1:$AF$975,2,FALSE),0)</f>
        <v>0</v>
      </c>
      <c r="X451" s="43">
        <f>IFERROR(VLOOKUP(E451,Sheet2!$AG$1:$AH$975,2,FALSE),0)</f>
        <v>0</v>
      </c>
      <c r="Z451" s="60">
        <f>IFERROR(VLOOKUP(F451,Sheet2!$AA$1:$AB$975,2,FALSE),0)</f>
        <v>0</v>
      </c>
      <c r="AA451" s="64">
        <f>IFERROR(VLOOKUP(F451,Sheet2!$AC$1:$AD$975,2,FALSE),0)</f>
        <v>0</v>
      </c>
      <c r="AB451" s="65">
        <f>IFERROR(VLOOKUP(F451,Sheet2!$AE$2:$AF$6539,2,FALSE),0)</f>
        <v>0</v>
      </c>
      <c r="AC451" s="43">
        <f>IFERROR(VLOOKUP(F451,Sheet2!$AG$2:$AH$6539,2,FALSE),0)</f>
        <v>0</v>
      </c>
      <c r="AE451" s="112">
        <v>5</v>
      </c>
      <c r="AF451" s="9">
        <v>19</v>
      </c>
      <c r="AG451" s="9">
        <v>0</v>
      </c>
      <c r="AH451" s="9">
        <v>0</v>
      </c>
      <c r="AI451" s="9">
        <v>19</v>
      </c>
      <c r="AJ451" s="9">
        <f t="shared" si="16"/>
        <v>24</v>
      </c>
      <c r="AK451" s="45">
        <f t="shared" si="17"/>
        <v>243</v>
      </c>
      <c r="AL451" s="68">
        <v>0</v>
      </c>
      <c r="AM451" s="68">
        <v>0</v>
      </c>
    </row>
    <row r="452" spans="1:39" x14ac:dyDescent="0.2">
      <c r="A452" s="57" t="s">
        <v>2082</v>
      </c>
      <c r="B452" s="47">
        <v>46173</v>
      </c>
      <c r="C452" s="108"/>
      <c r="D452" s="48" t="s">
        <v>1637</v>
      </c>
      <c r="E452" s="49" t="s">
        <v>1023</v>
      </c>
      <c r="F452" s="49" t="s">
        <v>1083</v>
      </c>
      <c r="G452" s="7"/>
      <c r="H452" s="7"/>
      <c r="I452" s="9" t="s">
        <v>1101</v>
      </c>
      <c r="J452" s="40" t="s">
        <v>1849</v>
      </c>
      <c r="K452" s="9" t="s">
        <v>1034</v>
      </c>
      <c r="L452" s="9" t="s">
        <v>32</v>
      </c>
      <c r="M452" s="11"/>
      <c r="N452" s="11"/>
      <c r="O452" s="50">
        <v>10.125</v>
      </c>
      <c r="R452" s="9">
        <f>IFERROR(VLOOKUP(E452,Sheet6!$A$2:$B$500,2,FALSE),0)</f>
        <v>0</v>
      </c>
      <c r="S452" s="41">
        <f>IFERROR(VLOOKUP(E452,Sheet6!$C$2:$D$35017,2,FALSE),0)</f>
        <v>0</v>
      </c>
      <c r="U452" s="9">
        <f>IFERROR(VLOOKUP(E452,Sheet2!$AA$1:$AB$975,2,FALSE),0)</f>
        <v>0</v>
      </c>
      <c r="V452" s="41">
        <f>IFERROR(VLOOKUP(E452,Sheet2!$AC$1:$AD$975,2,FALSE),0)</f>
        <v>0</v>
      </c>
      <c r="W452" s="42">
        <f>IFERROR(VLOOKUP(E452,Sheet2!$AE$1:$AF$975,2,FALSE),0)</f>
        <v>0</v>
      </c>
      <c r="X452" s="43">
        <f>IFERROR(VLOOKUP(E452,Sheet2!$AG$1:$AH$975,2,FALSE),0)</f>
        <v>0</v>
      </c>
      <c r="Z452" s="60">
        <f>IFERROR(VLOOKUP(F452,Sheet2!$AA$1:$AB$975,2,FALSE),0)</f>
        <v>0</v>
      </c>
      <c r="AA452" s="64">
        <f>IFERROR(VLOOKUP(F452,Sheet2!$AC$1:$AD$975,2,FALSE),0)</f>
        <v>0</v>
      </c>
      <c r="AB452" s="65">
        <f>IFERROR(VLOOKUP(F452,Sheet2!$AE$2:$AF$6539,2,FALSE),0)</f>
        <v>0</v>
      </c>
      <c r="AC452" s="43">
        <f>IFERROR(VLOOKUP(F452,Sheet2!$AG$2:$AH$6539,2,FALSE),0)</f>
        <v>0</v>
      </c>
      <c r="AE452" s="112">
        <v>6</v>
      </c>
      <c r="AF452" s="9">
        <v>7</v>
      </c>
      <c r="AG452" s="9">
        <v>0</v>
      </c>
      <c r="AH452" s="9">
        <v>0</v>
      </c>
      <c r="AI452" s="9">
        <v>7</v>
      </c>
      <c r="AJ452" s="9">
        <f t="shared" si="16"/>
        <v>13</v>
      </c>
      <c r="AK452" s="45">
        <f t="shared" si="17"/>
        <v>131.625</v>
      </c>
      <c r="AL452" s="68">
        <v>0</v>
      </c>
      <c r="AM452" s="68">
        <v>0</v>
      </c>
    </row>
    <row r="453" spans="1:39" x14ac:dyDescent="0.2">
      <c r="A453" s="57" t="s">
        <v>2082</v>
      </c>
      <c r="B453" s="47">
        <v>46173</v>
      </c>
      <c r="C453" s="48"/>
      <c r="D453" s="48" t="s">
        <v>1638</v>
      </c>
      <c r="E453" s="49" t="s">
        <v>1024</v>
      </c>
      <c r="F453" s="49" t="s">
        <v>1084</v>
      </c>
      <c r="G453" s="7"/>
      <c r="H453" s="7"/>
      <c r="I453" s="9" t="s">
        <v>1101</v>
      </c>
      <c r="J453" s="40" t="s">
        <v>1849</v>
      </c>
      <c r="K453" s="9" t="s">
        <v>1034</v>
      </c>
      <c r="L453" s="9" t="s">
        <v>35</v>
      </c>
      <c r="M453" s="11"/>
      <c r="N453" s="11"/>
      <c r="O453" s="50">
        <v>10.125</v>
      </c>
      <c r="R453" s="9">
        <f>IFERROR(VLOOKUP(E453,Sheet6!$A$2:$B$500,2,FALSE),0)</f>
        <v>0</v>
      </c>
      <c r="S453" s="41">
        <f>IFERROR(VLOOKUP(E453,Sheet6!$C$2:$D$35017,2,FALSE),0)</f>
        <v>0</v>
      </c>
      <c r="U453" s="9">
        <f>IFERROR(VLOOKUP(E453,Sheet2!$AA$1:$AB$975,2,FALSE),0)</f>
        <v>0</v>
      </c>
      <c r="V453" s="41">
        <f>IFERROR(VLOOKUP(E453,Sheet2!$AC$1:$AD$975,2,FALSE),0)</f>
        <v>0</v>
      </c>
      <c r="W453" s="42">
        <f>IFERROR(VLOOKUP(E453,Sheet2!$AE$1:$AF$975,2,FALSE),0)</f>
        <v>0</v>
      </c>
      <c r="X453" s="43">
        <f>IFERROR(VLOOKUP(E453,Sheet2!$AG$1:$AH$975,2,FALSE),0)</f>
        <v>0</v>
      </c>
      <c r="Z453" s="60">
        <f>IFERROR(VLOOKUP(F453,Sheet2!$AA$1:$AB$975,2,FALSE),0)</f>
        <v>0</v>
      </c>
      <c r="AA453" s="64">
        <f>IFERROR(VLOOKUP(F453,Sheet2!$AC$1:$AD$975,2,FALSE),0)</f>
        <v>0</v>
      </c>
      <c r="AB453" s="65">
        <f>IFERROR(VLOOKUP(F453,Sheet2!$AE$2:$AF$6539,2,FALSE),0)</f>
        <v>0</v>
      </c>
      <c r="AC453" s="43">
        <f>IFERROR(VLOOKUP(F453,Sheet2!$AG$2:$AH$6539,2,FALSE),0)</f>
        <v>0</v>
      </c>
      <c r="AE453" s="112">
        <v>32</v>
      </c>
      <c r="AF453" s="9">
        <v>0</v>
      </c>
      <c r="AG453" s="9">
        <v>0</v>
      </c>
      <c r="AH453" s="9">
        <v>0</v>
      </c>
      <c r="AI453" s="9">
        <v>0</v>
      </c>
      <c r="AJ453" s="9">
        <f t="shared" si="16"/>
        <v>32</v>
      </c>
      <c r="AK453" s="45">
        <f t="shared" si="17"/>
        <v>324</v>
      </c>
      <c r="AL453" s="68">
        <v>0</v>
      </c>
      <c r="AM453" s="68">
        <v>0</v>
      </c>
    </row>
    <row r="454" spans="1:39" x14ac:dyDescent="0.2">
      <c r="A454" s="57" t="s">
        <v>2082</v>
      </c>
      <c r="B454" s="47">
        <v>46173</v>
      </c>
      <c r="C454" s="48"/>
      <c r="D454" s="48" t="s">
        <v>1639</v>
      </c>
      <c r="E454" s="49" t="s">
        <v>933</v>
      </c>
      <c r="F454" s="49" t="s">
        <v>934</v>
      </c>
      <c r="G454" s="7"/>
      <c r="H454" s="7"/>
      <c r="I454" s="9" t="s">
        <v>935</v>
      </c>
      <c r="J454" s="40" t="s">
        <v>1842</v>
      </c>
      <c r="K454" s="9" t="s">
        <v>24</v>
      </c>
      <c r="L454" s="9" t="s">
        <v>662</v>
      </c>
      <c r="M454" s="11"/>
      <c r="N454" s="11"/>
      <c r="O454" s="50">
        <v>18</v>
      </c>
      <c r="R454" s="9">
        <f>IFERROR(VLOOKUP(E454,Sheet6!$A$2:$B$500,2,FALSE),0)</f>
        <v>0</v>
      </c>
      <c r="S454" s="41">
        <f>IFERROR(VLOOKUP(E454,Sheet6!$C$2:$D$35017,2,FALSE),0)</f>
        <v>0</v>
      </c>
      <c r="U454" s="9">
        <f>IFERROR(VLOOKUP(E454,Sheet2!$AA$1:$AB$975,2,FALSE),0)</f>
        <v>0</v>
      </c>
      <c r="V454" s="41">
        <f>IFERROR(VLOOKUP(E454,Sheet2!$AC$1:$AD$975,2,FALSE),0)</f>
        <v>0</v>
      </c>
      <c r="W454" s="42">
        <f>IFERROR(VLOOKUP(E454,Sheet2!$AE$1:$AF$975,2,FALSE),0)</f>
        <v>0</v>
      </c>
      <c r="X454" s="43">
        <f>IFERROR(VLOOKUP(E454,Sheet2!$AG$1:$AH$975,2,FALSE),0)</f>
        <v>0</v>
      </c>
      <c r="Z454" s="60">
        <f>IFERROR(VLOOKUP(F454,Sheet2!$AA$1:$AB$975,2,FALSE),0)</f>
        <v>55</v>
      </c>
      <c r="AA454" s="64">
        <f>IFERROR(VLOOKUP(F454,Sheet2!$AC$1:$AD$975,2,FALSE),0)</f>
        <v>2159.46</v>
      </c>
      <c r="AB454" s="65">
        <f>IFERROR(VLOOKUP(F454,Sheet2!$AE$2:$AF$6539,2,FALSE),0)</f>
        <v>144</v>
      </c>
      <c r="AC454" s="43">
        <f>IFERROR(VLOOKUP(F454,Sheet2!$AG$2:$AH$6539,2,FALSE),0)</f>
        <v>0.94230000000000003</v>
      </c>
      <c r="AE454" s="112">
        <v>0</v>
      </c>
      <c r="AF454" s="9">
        <v>45</v>
      </c>
      <c r="AG454" s="9">
        <v>0</v>
      </c>
      <c r="AH454" s="9">
        <v>18</v>
      </c>
      <c r="AI454" s="9">
        <v>63</v>
      </c>
      <c r="AJ454" s="9">
        <f t="shared" si="16"/>
        <v>63</v>
      </c>
      <c r="AK454" s="45">
        <f t="shared" si="17"/>
        <v>1134</v>
      </c>
      <c r="AL454" s="68">
        <v>0</v>
      </c>
      <c r="AM454" s="68">
        <v>0</v>
      </c>
    </row>
    <row r="455" spans="1:39" x14ac:dyDescent="0.2">
      <c r="A455" s="57" t="s">
        <v>2082</v>
      </c>
      <c r="B455" s="47">
        <v>46173</v>
      </c>
      <c r="C455" s="48"/>
      <c r="D455" s="48" t="s">
        <v>1640</v>
      </c>
      <c r="E455" s="49" t="s">
        <v>936</v>
      </c>
      <c r="F455" s="49" t="s">
        <v>937</v>
      </c>
      <c r="G455" s="7"/>
      <c r="H455" s="7"/>
      <c r="I455" s="9" t="s">
        <v>938</v>
      </c>
      <c r="J455" s="40" t="s">
        <v>1749</v>
      </c>
      <c r="K455" s="9" t="s">
        <v>24</v>
      </c>
      <c r="L455" s="9" t="s">
        <v>29</v>
      </c>
      <c r="M455" s="11"/>
      <c r="N455" s="11"/>
      <c r="O455" s="50">
        <v>14.4</v>
      </c>
      <c r="R455" s="9">
        <f>IFERROR(VLOOKUP(E455,Sheet6!$A$2:$B$500,2,FALSE),0)</f>
        <v>0</v>
      </c>
      <c r="S455" s="41">
        <f>IFERROR(VLOOKUP(E455,Sheet6!$C$2:$D$35017,2,FALSE),0)</f>
        <v>0</v>
      </c>
      <c r="U455" s="9">
        <f>IFERROR(VLOOKUP(E455,Sheet2!$AA$1:$AB$975,2,FALSE),0)</f>
        <v>0</v>
      </c>
      <c r="V455" s="41">
        <f>IFERROR(VLOOKUP(E455,Sheet2!$AC$1:$AD$975,2,FALSE),0)</f>
        <v>0</v>
      </c>
      <c r="W455" s="42">
        <f>IFERROR(VLOOKUP(E455,Sheet2!$AE$1:$AF$975,2,FALSE),0)</f>
        <v>0</v>
      </c>
      <c r="X455" s="43">
        <f>IFERROR(VLOOKUP(E455,Sheet2!$AG$1:$AH$975,2,FALSE),0)</f>
        <v>0</v>
      </c>
      <c r="Z455" s="60">
        <f>IFERROR(VLOOKUP(F455,Sheet2!$AA$1:$AB$975,2,FALSE),0)</f>
        <v>6</v>
      </c>
      <c r="AA455" s="64">
        <f>IFERROR(VLOOKUP(F455,Sheet2!$AC$1:$AD$975,2,FALSE),0)</f>
        <v>191.94</v>
      </c>
      <c r="AB455" s="65">
        <f>IFERROR(VLOOKUP(F455,Sheet2!$AE$2:$AF$6539,2,FALSE),0)</f>
        <v>150</v>
      </c>
      <c r="AC455" s="43">
        <f>IFERROR(VLOOKUP(F455,Sheet2!$AG$2:$AH$6539,2,FALSE),0)</f>
        <v>0.2374</v>
      </c>
      <c r="AE455" s="112">
        <v>18</v>
      </c>
      <c r="AF455" s="9">
        <v>29</v>
      </c>
      <c r="AG455" s="9">
        <v>0</v>
      </c>
      <c r="AH455" s="9">
        <v>0</v>
      </c>
      <c r="AI455" s="9">
        <v>29</v>
      </c>
      <c r="AJ455" s="9">
        <f t="shared" si="16"/>
        <v>47</v>
      </c>
      <c r="AK455" s="45">
        <f t="shared" si="17"/>
        <v>676.80000000000007</v>
      </c>
      <c r="AL455" s="68">
        <v>12</v>
      </c>
      <c r="AM455" s="68">
        <v>0</v>
      </c>
    </row>
    <row r="456" spans="1:39" x14ac:dyDescent="0.2">
      <c r="A456" s="57" t="s">
        <v>2082</v>
      </c>
      <c r="B456" s="47">
        <v>46173</v>
      </c>
      <c r="C456" s="48"/>
      <c r="D456" s="48" t="s">
        <v>1641</v>
      </c>
      <c r="E456" s="49" t="s">
        <v>939</v>
      </c>
      <c r="F456" s="49" t="s">
        <v>940</v>
      </c>
      <c r="G456" s="7"/>
      <c r="H456" s="7"/>
      <c r="I456" s="9" t="s">
        <v>938</v>
      </c>
      <c r="J456" s="40" t="s">
        <v>1749</v>
      </c>
      <c r="K456" s="9" t="s">
        <v>24</v>
      </c>
      <c r="L456" s="9" t="s">
        <v>32</v>
      </c>
      <c r="M456" s="11"/>
      <c r="N456" s="11"/>
      <c r="O456" s="50">
        <v>14.4</v>
      </c>
      <c r="R456" s="9">
        <f>IFERROR(VLOOKUP(E456,Sheet6!$A$2:$B$500,2,FALSE),0)</f>
        <v>0</v>
      </c>
      <c r="S456" s="41">
        <f>IFERROR(VLOOKUP(E456,Sheet6!$C$2:$D$35017,2,FALSE),0)</f>
        <v>0</v>
      </c>
      <c r="U456" s="9">
        <f>IFERROR(VLOOKUP(E456,Sheet2!$AA$1:$AB$975,2,FALSE),0)</f>
        <v>0</v>
      </c>
      <c r="V456" s="41">
        <f>IFERROR(VLOOKUP(E456,Sheet2!$AC$1:$AD$975,2,FALSE),0)</f>
        <v>0</v>
      </c>
      <c r="W456" s="42">
        <f>IFERROR(VLOOKUP(E456,Sheet2!$AE$1:$AF$975,2,FALSE),0)</f>
        <v>0</v>
      </c>
      <c r="X456" s="43">
        <f>IFERROR(VLOOKUP(E456,Sheet2!$AG$1:$AH$975,2,FALSE),0)</f>
        <v>0</v>
      </c>
      <c r="Z456" s="60">
        <f>IFERROR(VLOOKUP(F456,Sheet2!$AA$1:$AB$975,2,FALSE),0)</f>
        <v>14</v>
      </c>
      <c r="AA456" s="64">
        <f>IFERROR(VLOOKUP(F456,Sheet2!$AC$1:$AD$975,2,FALSE),0)</f>
        <v>447.86</v>
      </c>
      <c r="AB456" s="65">
        <f>IFERROR(VLOOKUP(F456,Sheet2!$AE$2:$AF$6539,2,FALSE),0)</f>
        <v>267</v>
      </c>
      <c r="AC456" s="43">
        <f>IFERROR(VLOOKUP(F456,Sheet2!$AG$2:$AH$6539,2,FALSE),0)</f>
        <v>0.25409999999999999</v>
      </c>
      <c r="AE456" s="112">
        <v>23</v>
      </c>
      <c r="AF456" s="9">
        <v>0</v>
      </c>
      <c r="AG456" s="9">
        <v>0</v>
      </c>
      <c r="AH456" s="9">
        <v>0</v>
      </c>
      <c r="AI456" s="9">
        <v>0</v>
      </c>
      <c r="AJ456" s="9">
        <f t="shared" si="16"/>
        <v>23</v>
      </c>
      <c r="AK456" s="45">
        <f t="shared" si="17"/>
        <v>331.2</v>
      </c>
      <c r="AL456" s="68">
        <v>60</v>
      </c>
      <c r="AM456" s="68">
        <v>0</v>
      </c>
    </row>
    <row r="457" spans="1:39" x14ac:dyDescent="0.2">
      <c r="A457" s="57" t="s">
        <v>2082</v>
      </c>
      <c r="B457" s="47">
        <v>46173</v>
      </c>
      <c r="C457" s="48"/>
      <c r="D457" s="48" t="s">
        <v>1642</v>
      </c>
      <c r="E457" s="49" t="s">
        <v>941</v>
      </c>
      <c r="F457" s="49" t="s">
        <v>942</v>
      </c>
      <c r="G457" s="7"/>
      <c r="H457" s="7"/>
      <c r="I457" s="9" t="s">
        <v>938</v>
      </c>
      <c r="J457" s="40" t="s">
        <v>1749</v>
      </c>
      <c r="K457" s="9" t="s">
        <v>24</v>
      </c>
      <c r="L457" s="9" t="s">
        <v>35</v>
      </c>
      <c r="M457" s="11"/>
      <c r="N457" s="11"/>
      <c r="O457" s="50">
        <v>14.4</v>
      </c>
      <c r="R457" s="9">
        <f>IFERROR(VLOOKUP(E457,Sheet6!$A$2:$B$500,2,FALSE),0)</f>
        <v>2</v>
      </c>
      <c r="S457" s="41">
        <f>IFERROR(VLOOKUP(E457,Sheet6!$C$2:$D$35017,2,FALSE),0)</f>
        <v>59.2</v>
      </c>
      <c r="U457" s="9">
        <f>IFERROR(VLOOKUP(E457,Sheet2!$AA$1:$AB$975,2,FALSE),0)</f>
        <v>0</v>
      </c>
      <c r="V457" s="41">
        <f>IFERROR(VLOOKUP(E457,Sheet2!$AC$1:$AD$975,2,FALSE),0)</f>
        <v>0</v>
      </c>
      <c r="W457" s="42">
        <f>IFERROR(VLOOKUP(E457,Sheet2!$AE$1:$AF$975,2,FALSE),0)</f>
        <v>0</v>
      </c>
      <c r="X457" s="43">
        <f>IFERROR(VLOOKUP(E457,Sheet2!$AG$1:$AH$975,2,FALSE),0)</f>
        <v>0</v>
      </c>
      <c r="Z457" s="60">
        <f>IFERROR(VLOOKUP(F457,Sheet2!$AA$1:$AB$975,2,FALSE),0)</f>
        <v>24</v>
      </c>
      <c r="AA457" s="64">
        <f>IFERROR(VLOOKUP(F457,Sheet2!$AC$1:$AD$975,2,FALSE),0)</f>
        <v>767.76</v>
      </c>
      <c r="AB457" s="65">
        <f>IFERROR(VLOOKUP(F457,Sheet2!$AE$2:$AF$6539,2,FALSE),0)</f>
        <v>259</v>
      </c>
      <c r="AC457" s="43">
        <f>IFERROR(VLOOKUP(F457,Sheet2!$AG$2:$AH$6539,2,FALSE),0)</f>
        <v>0.39029999999999998</v>
      </c>
      <c r="AE457" s="112">
        <v>21</v>
      </c>
      <c r="AF457" s="9">
        <v>5</v>
      </c>
      <c r="AG457" s="9">
        <v>0</v>
      </c>
      <c r="AH457" s="9">
        <v>0</v>
      </c>
      <c r="AI457" s="9">
        <v>5</v>
      </c>
      <c r="AJ457" s="9">
        <f t="shared" si="16"/>
        <v>26</v>
      </c>
      <c r="AK457" s="45">
        <f t="shared" si="17"/>
        <v>374.40000000000003</v>
      </c>
      <c r="AL457" s="68">
        <v>72</v>
      </c>
      <c r="AM457" s="68">
        <v>0</v>
      </c>
    </row>
    <row r="458" spans="1:39" x14ac:dyDescent="0.2">
      <c r="A458" s="57" t="s">
        <v>2082</v>
      </c>
      <c r="B458" s="47">
        <v>46173</v>
      </c>
      <c r="C458" s="48"/>
      <c r="D458" s="48" t="s">
        <v>1704</v>
      </c>
      <c r="E458" s="49" t="s">
        <v>1703</v>
      </c>
      <c r="F458" s="49" t="s">
        <v>1705</v>
      </c>
      <c r="G458" s="7"/>
      <c r="H458" s="7"/>
      <c r="I458" s="9" t="s">
        <v>938</v>
      </c>
      <c r="J458" s="40" t="s">
        <v>1749</v>
      </c>
      <c r="K458" s="9" t="s">
        <v>24</v>
      </c>
      <c r="L458" s="9" t="s">
        <v>38</v>
      </c>
      <c r="M458" s="11"/>
      <c r="N458" s="11"/>
      <c r="O458" s="50">
        <v>14.4</v>
      </c>
      <c r="R458" s="9">
        <f>IFERROR(VLOOKUP(E458,Sheet6!$A$2:$B$500,2,FALSE),0)</f>
        <v>0</v>
      </c>
      <c r="S458" s="41">
        <f>IFERROR(VLOOKUP(E458,Sheet6!$C$2:$D$35017,2,FALSE),0)</f>
        <v>0</v>
      </c>
      <c r="U458" s="9">
        <f>IFERROR(VLOOKUP(E458,Sheet2!$AA$1:$AB$975,2,FALSE),0)</f>
        <v>0</v>
      </c>
      <c r="V458" s="41">
        <f>IFERROR(VLOOKUP(E458,Sheet2!$AC$1:$AD$975,2,FALSE),0)</f>
        <v>0</v>
      </c>
      <c r="W458" s="42">
        <f>IFERROR(VLOOKUP(E458,Sheet2!$AE$1:$AF$975,2,FALSE),0)</f>
        <v>0</v>
      </c>
      <c r="X458" s="43">
        <f>IFERROR(VLOOKUP(E458,Sheet2!$AG$1:$AH$975,2,FALSE),0)</f>
        <v>0</v>
      </c>
      <c r="Z458" s="60">
        <f>IFERROR(VLOOKUP(F458,Sheet2!$AA$1:$AB$975,2,FALSE),0)</f>
        <v>2</v>
      </c>
      <c r="AA458" s="64">
        <f>IFERROR(VLOOKUP(F458,Sheet2!$AC$1:$AD$975,2,FALSE),0)</f>
        <v>64</v>
      </c>
      <c r="AB458" s="65">
        <f>IFERROR(VLOOKUP(F458,Sheet2!$AE$2:$AF$6539,2,FALSE),0)</f>
        <v>16</v>
      </c>
      <c r="AC458" s="43">
        <f>IFERROR(VLOOKUP(F458,Sheet2!$AG$2:$AH$6539,2,FALSE),0)</f>
        <v>1</v>
      </c>
      <c r="AE458" s="112">
        <v>0</v>
      </c>
      <c r="AF458" s="9">
        <v>7</v>
      </c>
      <c r="AG458" s="9">
        <v>1</v>
      </c>
      <c r="AH458" s="9">
        <v>0</v>
      </c>
      <c r="AI458" s="9">
        <v>8</v>
      </c>
      <c r="AJ458" s="9">
        <f t="shared" si="16"/>
        <v>8</v>
      </c>
      <c r="AK458" s="45">
        <f t="shared" si="17"/>
        <v>115.2</v>
      </c>
      <c r="AL458" s="68">
        <v>0</v>
      </c>
      <c r="AM458" s="68">
        <v>0</v>
      </c>
    </row>
    <row r="459" spans="1:39" x14ac:dyDescent="0.2">
      <c r="A459" s="57" t="s">
        <v>2082</v>
      </c>
      <c r="B459" s="47">
        <v>46173</v>
      </c>
      <c r="C459" s="48"/>
      <c r="D459" s="48" t="s">
        <v>1643</v>
      </c>
      <c r="E459" s="49" t="s">
        <v>943</v>
      </c>
      <c r="F459" s="49" t="s">
        <v>944</v>
      </c>
      <c r="G459" s="7"/>
      <c r="H459" s="7"/>
      <c r="I459" s="9" t="s">
        <v>945</v>
      </c>
      <c r="J459" s="40" t="s">
        <v>1760</v>
      </c>
      <c r="K459" s="9" t="s">
        <v>24</v>
      </c>
      <c r="L459" s="9" t="s">
        <v>29</v>
      </c>
      <c r="M459" s="11"/>
      <c r="N459" s="11"/>
      <c r="O459" s="50">
        <v>13.5</v>
      </c>
      <c r="R459" s="9">
        <f>IFERROR(VLOOKUP(E459,Sheet6!$A$2:$B$500,2,FALSE),0)</f>
        <v>0</v>
      </c>
      <c r="S459" s="41">
        <f>IFERROR(VLOOKUP(E459,Sheet6!$C$2:$D$35017,2,FALSE),0)</f>
        <v>0</v>
      </c>
      <c r="U459" s="9">
        <f>IFERROR(VLOOKUP(E459,Sheet2!$AA$1:$AB$975,2,FALSE),0)</f>
        <v>0</v>
      </c>
      <c r="V459" s="41">
        <f>IFERROR(VLOOKUP(E459,Sheet2!$AC$1:$AD$975,2,FALSE),0)</f>
        <v>0</v>
      </c>
      <c r="W459" s="42">
        <f>IFERROR(VLOOKUP(E459,Sheet2!$AE$1:$AF$975,2,FALSE),0)</f>
        <v>0</v>
      </c>
      <c r="X459" s="43">
        <f>IFERROR(VLOOKUP(E459,Sheet2!$AG$1:$AH$975,2,FALSE),0)</f>
        <v>0</v>
      </c>
      <c r="Z459" s="60">
        <f>IFERROR(VLOOKUP(F459,Sheet2!$AA$1:$AB$975,2,FALSE),0)</f>
        <v>6</v>
      </c>
      <c r="AA459" s="64">
        <f>IFERROR(VLOOKUP(F459,Sheet2!$AC$1:$AD$975,2,FALSE),0)</f>
        <v>179.94</v>
      </c>
      <c r="AB459" s="65">
        <f>IFERROR(VLOOKUP(F459,Sheet2!$AE$2:$AF$6539,2,FALSE),0)</f>
        <v>115</v>
      </c>
      <c r="AC459" s="43">
        <f>IFERROR(VLOOKUP(F459,Sheet2!$AG$2:$AH$6539,2,FALSE),0)</f>
        <v>0.33560000000000001</v>
      </c>
      <c r="AE459" s="112">
        <v>4</v>
      </c>
      <c r="AF459" s="9">
        <v>1</v>
      </c>
      <c r="AG459" s="9">
        <v>0</v>
      </c>
      <c r="AH459" s="9">
        <v>0</v>
      </c>
      <c r="AI459" s="9">
        <v>1</v>
      </c>
      <c r="AJ459" s="9">
        <f t="shared" si="16"/>
        <v>5</v>
      </c>
      <c r="AK459" s="45">
        <f t="shared" si="17"/>
        <v>67.5</v>
      </c>
      <c r="AL459" s="68">
        <v>12</v>
      </c>
      <c r="AM459" s="68">
        <v>0</v>
      </c>
    </row>
    <row r="460" spans="1:39" x14ac:dyDescent="0.2">
      <c r="A460" s="57" t="s">
        <v>2082</v>
      </c>
      <c r="B460" s="47">
        <v>46173</v>
      </c>
      <c r="C460" s="48"/>
      <c r="D460" s="48" t="s">
        <v>1644</v>
      </c>
      <c r="E460" s="49" t="s">
        <v>946</v>
      </c>
      <c r="F460" s="49" t="s">
        <v>947</v>
      </c>
      <c r="G460" s="7"/>
      <c r="H460" s="7"/>
      <c r="I460" s="9" t="s">
        <v>945</v>
      </c>
      <c r="J460" s="40" t="s">
        <v>1760</v>
      </c>
      <c r="K460" s="9" t="s">
        <v>24</v>
      </c>
      <c r="L460" s="9" t="s">
        <v>32</v>
      </c>
      <c r="M460" s="11"/>
      <c r="N460" s="11"/>
      <c r="O460" s="50">
        <v>13.5</v>
      </c>
      <c r="R460" s="9">
        <f>IFERROR(VLOOKUP(E460,Sheet6!$A$2:$B$500,2,FALSE),0)</f>
        <v>1</v>
      </c>
      <c r="S460" s="41">
        <f>IFERROR(VLOOKUP(E460,Sheet6!$C$2:$D$35017,2,FALSE),0)</f>
        <v>30</v>
      </c>
      <c r="U460" s="9">
        <f>IFERROR(VLOOKUP(E460,Sheet2!$AA$1:$AB$975,2,FALSE),0)</f>
        <v>0</v>
      </c>
      <c r="V460" s="41">
        <f>IFERROR(VLOOKUP(E460,Sheet2!$AC$1:$AD$975,2,FALSE),0)</f>
        <v>0</v>
      </c>
      <c r="W460" s="42">
        <f>IFERROR(VLOOKUP(E460,Sheet2!$AE$1:$AF$975,2,FALSE),0)</f>
        <v>0</v>
      </c>
      <c r="X460" s="43">
        <f>IFERROR(VLOOKUP(E460,Sheet2!$AG$1:$AH$975,2,FALSE),0)</f>
        <v>0</v>
      </c>
      <c r="Z460" s="60">
        <f>IFERROR(VLOOKUP(F460,Sheet2!$AA$1:$AB$975,2,FALSE),0)</f>
        <v>13</v>
      </c>
      <c r="AA460" s="64">
        <f>IFERROR(VLOOKUP(F460,Sheet2!$AC$1:$AD$975,2,FALSE),0)</f>
        <v>389.87</v>
      </c>
      <c r="AB460" s="65">
        <f>IFERROR(VLOOKUP(F460,Sheet2!$AE$2:$AF$6539,2,FALSE),0)</f>
        <v>175</v>
      </c>
      <c r="AC460" s="43">
        <f>IFERROR(VLOOKUP(F460,Sheet2!$AG$2:$AH$6539,2,FALSE),0)</f>
        <v>0.38579999999999998</v>
      </c>
      <c r="AE460" s="112">
        <v>11</v>
      </c>
      <c r="AF460" s="9">
        <v>12</v>
      </c>
      <c r="AG460" s="9">
        <v>0</v>
      </c>
      <c r="AH460" s="9">
        <v>0</v>
      </c>
      <c r="AI460" s="9">
        <v>12</v>
      </c>
      <c r="AJ460" s="9">
        <f t="shared" si="16"/>
        <v>23</v>
      </c>
      <c r="AK460" s="45">
        <f t="shared" si="17"/>
        <v>310.5</v>
      </c>
      <c r="AL460" s="68">
        <v>12</v>
      </c>
      <c r="AM460" s="68">
        <v>0</v>
      </c>
    </row>
    <row r="461" spans="1:39" x14ac:dyDescent="0.2">
      <c r="A461" s="57" t="s">
        <v>2082</v>
      </c>
      <c r="B461" s="47">
        <v>46173</v>
      </c>
      <c r="C461" s="48"/>
      <c r="D461" s="48" t="s">
        <v>1645</v>
      </c>
      <c r="E461" s="49" t="s">
        <v>948</v>
      </c>
      <c r="F461" s="49" t="s">
        <v>949</v>
      </c>
      <c r="G461" s="7"/>
      <c r="H461" s="7"/>
      <c r="I461" s="9" t="s">
        <v>950</v>
      </c>
      <c r="J461" s="40" t="s">
        <v>1739</v>
      </c>
      <c r="K461" s="9" t="s">
        <v>24</v>
      </c>
      <c r="L461" s="9" t="s">
        <v>29</v>
      </c>
      <c r="M461" s="11"/>
      <c r="N461" s="11"/>
      <c r="O461" s="50">
        <v>15.3</v>
      </c>
      <c r="R461" s="9">
        <f>IFERROR(VLOOKUP(E461,Sheet6!$A$2:$B$500,2,FALSE),0)</f>
        <v>0</v>
      </c>
      <c r="S461" s="41">
        <f>IFERROR(VLOOKUP(E461,Sheet6!$C$2:$D$35017,2,FALSE),0)</f>
        <v>0</v>
      </c>
      <c r="U461" s="9">
        <f>IFERROR(VLOOKUP(E461,Sheet2!$AA$1:$AB$975,2,FALSE),0)</f>
        <v>0</v>
      </c>
      <c r="V461" s="41">
        <f>IFERROR(VLOOKUP(E461,Sheet2!$AC$1:$AD$975,2,FALSE),0)</f>
        <v>0</v>
      </c>
      <c r="W461" s="42">
        <f>IFERROR(VLOOKUP(E461,Sheet2!$AE$1:$AF$975,2,FALSE),0)</f>
        <v>0</v>
      </c>
      <c r="X461" s="43">
        <f>IFERROR(VLOOKUP(E461,Sheet2!$AG$1:$AH$975,2,FALSE),0)</f>
        <v>0</v>
      </c>
      <c r="Z461" s="60">
        <f>IFERROR(VLOOKUP(F461,Sheet2!$AA$1:$AB$975,2,FALSE),0)</f>
        <v>9</v>
      </c>
      <c r="AA461" s="64">
        <f>IFERROR(VLOOKUP(F461,Sheet2!$AC$1:$AD$975,2,FALSE),0)</f>
        <v>305.91000000000003</v>
      </c>
      <c r="AB461" s="65">
        <f>IFERROR(VLOOKUP(F461,Sheet2!$AE$2:$AF$6539,2,FALSE),0)</f>
        <v>73</v>
      </c>
      <c r="AC461" s="43">
        <f>IFERROR(VLOOKUP(F461,Sheet2!$AG$2:$AH$6539,2,FALSE),0)</f>
        <v>0.63039999999999996</v>
      </c>
      <c r="AE461" s="112">
        <v>1</v>
      </c>
      <c r="AF461" s="9">
        <v>56</v>
      </c>
      <c r="AG461" s="9">
        <v>0</v>
      </c>
      <c r="AH461" s="9">
        <v>0</v>
      </c>
      <c r="AI461" s="9">
        <v>56</v>
      </c>
      <c r="AJ461" s="9">
        <f t="shared" si="16"/>
        <v>57</v>
      </c>
      <c r="AK461" s="45">
        <f t="shared" si="17"/>
        <v>872.1</v>
      </c>
      <c r="AL461" s="68">
        <v>12</v>
      </c>
      <c r="AM461" s="68">
        <v>0</v>
      </c>
    </row>
    <row r="462" spans="1:39" x14ac:dyDescent="0.2">
      <c r="A462" s="57" t="s">
        <v>2082</v>
      </c>
      <c r="B462" s="47">
        <v>46173</v>
      </c>
      <c r="C462" s="48"/>
      <c r="D462" s="48" t="s">
        <v>1646</v>
      </c>
      <c r="E462" s="49" t="s">
        <v>951</v>
      </c>
      <c r="F462" s="49" t="s">
        <v>952</v>
      </c>
      <c r="G462" s="7"/>
      <c r="H462" s="7"/>
      <c r="I462" s="9" t="s">
        <v>950</v>
      </c>
      <c r="J462" s="40" t="s">
        <v>1739</v>
      </c>
      <c r="K462" s="9" t="s">
        <v>24</v>
      </c>
      <c r="L462" s="9" t="s">
        <v>32</v>
      </c>
      <c r="M462" s="11"/>
      <c r="N462" s="11"/>
      <c r="O462" s="50">
        <v>15.3</v>
      </c>
      <c r="R462" s="9">
        <f>IFERROR(VLOOKUP(E462,Sheet6!$A$2:$B$500,2,FALSE),0)</f>
        <v>0</v>
      </c>
      <c r="S462" s="41">
        <f>IFERROR(VLOOKUP(E462,Sheet6!$C$2:$D$35017,2,FALSE),0)</f>
        <v>0</v>
      </c>
      <c r="U462" s="9">
        <f>IFERROR(VLOOKUP(E462,Sheet2!$AA$1:$AB$975,2,FALSE),0)</f>
        <v>0</v>
      </c>
      <c r="V462" s="41">
        <f>IFERROR(VLOOKUP(E462,Sheet2!$AC$1:$AD$975,2,FALSE),0)</f>
        <v>0</v>
      </c>
      <c r="W462" s="42">
        <f>IFERROR(VLOOKUP(E462,Sheet2!$AE$1:$AF$975,2,FALSE),0)</f>
        <v>0</v>
      </c>
      <c r="X462" s="43">
        <f>IFERROR(VLOOKUP(E462,Sheet2!$AG$1:$AH$975,2,FALSE),0)</f>
        <v>0</v>
      </c>
      <c r="Z462" s="60">
        <f>IFERROR(VLOOKUP(F462,Sheet2!$AA$1:$AB$975,2,FALSE),0)</f>
        <v>5</v>
      </c>
      <c r="AA462" s="64">
        <f>IFERROR(VLOOKUP(F462,Sheet2!$AC$1:$AD$975,2,FALSE),0)</f>
        <v>169.95</v>
      </c>
      <c r="AB462" s="65">
        <f>IFERROR(VLOOKUP(F462,Sheet2!$AE$2:$AF$6539,2,FALSE),0)</f>
        <v>78</v>
      </c>
      <c r="AC462" s="43">
        <f>IFERROR(VLOOKUP(F462,Sheet2!$AG$2:$AH$6539,2,FALSE),0)</f>
        <v>0.17119999999999999</v>
      </c>
      <c r="AE462" s="112">
        <v>0</v>
      </c>
      <c r="AF462" s="9">
        <v>26</v>
      </c>
      <c r="AG462" s="9">
        <v>10</v>
      </c>
      <c r="AH462" s="9">
        <v>0</v>
      </c>
      <c r="AI462" s="9">
        <v>36</v>
      </c>
      <c r="AJ462" s="9">
        <f t="shared" si="16"/>
        <v>36</v>
      </c>
      <c r="AK462" s="45">
        <f t="shared" si="17"/>
        <v>550.80000000000007</v>
      </c>
      <c r="AL462" s="68">
        <v>0</v>
      </c>
      <c r="AM462" s="68">
        <v>0</v>
      </c>
    </row>
    <row r="463" spans="1:39" x14ac:dyDescent="0.2">
      <c r="A463" s="57" t="s">
        <v>2082</v>
      </c>
      <c r="B463" s="47">
        <v>46173</v>
      </c>
      <c r="C463" s="48"/>
      <c r="D463" s="58" t="s">
        <v>1647</v>
      </c>
      <c r="E463" s="59" t="s">
        <v>953</v>
      </c>
      <c r="F463" s="59" t="s">
        <v>954</v>
      </c>
      <c r="G463" s="57"/>
      <c r="H463" s="57"/>
      <c r="I463" s="60" t="s">
        <v>950</v>
      </c>
      <c r="J463" s="61" t="s">
        <v>1739</v>
      </c>
      <c r="K463" s="60" t="s">
        <v>24</v>
      </c>
      <c r="L463" s="60" t="s">
        <v>35</v>
      </c>
      <c r="M463" s="62"/>
      <c r="N463" s="62"/>
      <c r="O463" s="63">
        <v>15.3</v>
      </c>
      <c r="R463" s="9">
        <f>IFERROR(VLOOKUP(E463,Sheet6!$A$2:$B$500,2,FALSE),0)</f>
        <v>6</v>
      </c>
      <c r="S463" s="41">
        <f>IFERROR(VLOOKUP(E463,Sheet6!$C$2:$D$35017,2,FALSE),0)</f>
        <v>204</v>
      </c>
      <c r="U463" s="60">
        <f>IFERROR(VLOOKUP(E463,Sheet2!$AA$1:$AB$975,2,FALSE),0)</f>
        <v>0</v>
      </c>
      <c r="V463" s="64">
        <f>IFERROR(VLOOKUP(E463,Sheet2!$AC$1:$AD$975,2,FALSE),0)</f>
        <v>0</v>
      </c>
      <c r="W463" s="65">
        <f>IFERROR(VLOOKUP(E463,Sheet2!$AE$1:$AF$975,2,FALSE),0)</f>
        <v>0</v>
      </c>
      <c r="X463" s="66">
        <f>IFERROR(VLOOKUP(E463,Sheet2!$AG$1:$AH$975,2,FALSE),0)</f>
        <v>0</v>
      </c>
      <c r="Z463" s="60">
        <f>IFERROR(VLOOKUP(F463,Sheet2!$AA$1:$AB$975,2,FALSE),0)</f>
        <v>5</v>
      </c>
      <c r="AA463" s="64">
        <f>IFERROR(VLOOKUP(F463,Sheet2!$AC$1:$AD$975,2,FALSE),0)</f>
        <v>169.95</v>
      </c>
      <c r="AB463" s="65">
        <f>IFERROR(VLOOKUP(F463,Sheet2!$AE$2:$AF$6539,2,FALSE),0)</f>
        <v>75</v>
      </c>
      <c r="AC463" s="43">
        <f>IFERROR(VLOOKUP(F463,Sheet2!$AG$2:$AH$6539,2,FALSE),0)</f>
        <v>0.69389999999999996</v>
      </c>
      <c r="AE463" s="112">
        <v>53</v>
      </c>
      <c r="AF463" s="60">
        <v>78</v>
      </c>
      <c r="AG463" s="60">
        <v>0</v>
      </c>
      <c r="AH463" s="60">
        <v>0</v>
      </c>
      <c r="AI463" s="60">
        <v>78</v>
      </c>
      <c r="AJ463" s="60">
        <f t="shared" si="16"/>
        <v>131</v>
      </c>
      <c r="AK463" s="67">
        <f t="shared" si="17"/>
        <v>2004.3000000000002</v>
      </c>
      <c r="AL463" s="68">
        <v>0</v>
      </c>
      <c r="AM463" s="68">
        <v>0</v>
      </c>
    </row>
    <row r="464" spans="1:39" s="76" customFormat="1" x14ac:dyDescent="0.2">
      <c r="A464" s="7"/>
      <c r="B464" s="7"/>
      <c r="C464" s="40"/>
      <c r="D464" s="12"/>
      <c r="E464"/>
      <c r="F464" s="7"/>
      <c r="G464" s="7"/>
      <c r="H464" s="7"/>
      <c r="I464" s="7"/>
      <c r="J464" s="7"/>
      <c r="K464" s="7"/>
      <c r="L464" s="7"/>
      <c r="M464" s="11"/>
      <c r="N464" s="11"/>
      <c r="O464" s="11"/>
      <c r="P464" s="11"/>
      <c r="Q464" s="70"/>
      <c r="R464" s="39"/>
      <c r="S464" s="69"/>
      <c r="T464" s="70"/>
      <c r="U464" s="39"/>
      <c r="V464" s="71"/>
      <c r="W464" s="72"/>
      <c r="X464" s="73"/>
      <c r="Y464" s="70"/>
      <c r="Z464" s="39"/>
      <c r="AA464" s="72"/>
      <c r="AB464" s="72"/>
      <c r="AC464" s="73"/>
      <c r="AD464" s="70"/>
      <c r="AE464" s="9"/>
      <c r="AF464" s="9"/>
      <c r="AG464" s="9"/>
      <c r="AH464" s="9"/>
      <c r="AI464" s="9"/>
      <c r="AJ464" s="9"/>
      <c r="AK464" s="74"/>
      <c r="AL464" s="75"/>
      <c r="AM464" s="75"/>
    </row>
    <row r="465" spans="1:39" x14ac:dyDescent="0.2">
      <c r="A465" s="84"/>
      <c r="B465" s="85"/>
      <c r="D465" s="86"/>
      <c r="E465" s="77"/>
      <c r="F465" s="85"/>
      <c r="G465" s="85"/>
      <c r="H465" s="85"/>
      <c r="I465" s="84"/>
      <c r="J465" s="84"/>
      <c r="K465" s="84"/>
      <c r="L465" s="84"/>
      <c r="M465" s="87"/>
      <c r="N465" s="87"/>
      <c r="O465" s="88" t="s">
        <v>955</v>
      </c>
      <c r="P465" s="88"/>
      <c r="Q465" s="104"/>
      <c r="R465" s="91">
        <f>SUM(R3:R464)</f>
        <v>222</v>
      </c>
      <c r="S465" s="90">
        <f>SUM(S3:S463)</f>
        <v>4064.7599999999993</v>
      </c>
      <c r="T465" s="104"/>
      <c r="U465" s="91">
        <f>SUM(U3:U464)</f>
        <v>610</v>
      </c>
      <c r="V465" s="90">
        <f>SUM(V3:V463)</f>
        <v>11561.29999999999</v>
      </c>
      <c r="W465" s="91">
        <f>SUM(W3:W463)</f>
        <v>6263</v>
      </c>
      <c r="X465" s="92">
        <f>AVERAGE(X3:X463)</f>
        <v>0.14351561822125811</v>
      </c>
      <c r="Y465" s="103"/>
      <c r="Z465" s="91">
        <f>SUM(Z3:Z464)</f>
        <v>1106</v>
      </c>
      <c r="AA465" s="90">
        <f>SUM(AA3:AA463)</f>
        <v>31267.68</v>
      </c>
      <c r="AB465" s="93">
        <f>SUM(AB3:AB462)</f>
        <v>10490</v>
      </c>
      <c r="AC465" s="92">
        <f>AVERAGE(AC3:AC463)</f>
        <v>0.23065162689804766</v>
      </c>
      <c r="AD465" s="103"/>
      <c r="AE465" s="91">
        <f t="shared" ref="AE465:AJ465" si="18">SUM(AE3:AE464)</f>
        <v>7574</v>
      </c>
      <c r="AF465" s="91">
        <f t="shared" si="18"/>
        <v>2681</v>
      </c>
      <c r="AG465" s="91">
        <f t="shared" si="18"/>
        <v>341</v>
      </c>
      <c r="AH465" s="91">
        <f t="shared" si="18"/>
        <v>288</v>
      </c>
      <c r="AI465" s="91">
        <f t="shared" si="18"/>
        <v>3310</v>
      </c>
      <c r="AJ465" s="91">
        <f t="shared" si="18"/>
        <v>10884</v>
      </c>
      <c r="AK465" s="90">
        <f>SUM(AK3:AK463)</f>
        <v>105809.82999999999</v>
      </c>
      <c r="AL465" s="89">
        <f>SUM(AL3:AL463)</f>
        <v>1764</v>
      </c>
      <c r="AM465" s="89">
        <f>SUM(AM3:AM463)</f>
        <v>2061</v>
      </c>
    </row>
    <row r="466" spans="1:39" s="76" customFormat="1" x14ac:dyDescent="0.2">
      <c r="A466" s="7"/>
      <c r="B466" s="7"/>
      <c r="C466" s="107"/>
      <c r="D466" s="12"/>
      <c r="E466" s="9"/>
      <c r="F466" s="7"/>
      <c r="G466" s="7"/>
      <c r="H466" s="7"/>
      <c r="I466" s="7"/>
      <c r="J466" s="7"/>
      <c r="K466" s="7"/>
      <c r="L466" s="7"/>
      <c r="M466" s="11"/>
      <c r="N466" s="11"/>
      <c r="O466" s="11"/>
      <c r="P466" s="11"/>
      <c r="Q466" s="70"/>
      <c r="R466" s="94"/>
      <c r="S466" s="69"/>
      <c r="T466" s="70"/>
      <c r="U466" s="94"/>
      <c r="V466" s="71"/>
      <c r="W466" s="72"/>
      <c r="X466" s="73"/>
      <c r="Y466" s="70"/>
      <c r="Z466" s="94"/>
      <c r="AA466" s="72"/>
      <c r="AB466" s="72"/>
      <c r="AC466" s="73"/>
      <c r="AD466" s="70"/>
      <c r="AE466" s="9"/>
      <c r="AF466" s="9"/>
      <c r="AG466" s="9"/>
      <c r="AH466" s="9"/>
      <c r="AI466" s="9"/>
      <c r="AJ466" s="9"/>
      <c r="AK466" s="74"/>
      <c r="AL466" s="75"/>
      <c r="AM466" s="75"/>
    </row>
    <row r="467" spans="1:39" s="83" customFormat="1" x14ac:dyDescent="0.2">
      <c r="A467" s="78"/>
      <c r="B467" s="96"/>
      <c r="C467" s="107"/>
      <c r="D467" s="79"/>
      <c r="E467" s="97"/>
      <c r="F467" s="96"/>
      <c r="G467" s="96"/>
      <c r="H467" s="96"/>
      <c r="I467" s="78"/>
      <c r="J467" s="78"/>
      <c r="K467" s="78"/>
      <c r="L467" s="78"/>
      <c r="M467" s="80"/>
      <c r="N467" s="80"/>
      <c r="O467" s="80" t="s">
        <v>1852</v>
      </c>
      <c r="P467" s="80"/>
      <c r="Q467" s="82"/>
      <c r="R467" s="98">
        <v>311</v>
      </c>
      <c r="S467" s="99">
        <v>6356.1999999999989</v>
      </c>
      <c r="T467" s="82"/>
      <c r="U467" s="98">
        <v>599</v>
      </c>
      <c r="V467" s="99">
        <v>11670.019999999993</v>
      </c>
      <c r="W467" s="98">
        <v>7945</v>
      </c>
      <c r="X467" s="100">
        <v>0.13960130151843819</v>
      </c>
      <c r="Y467" s="82"/>
      <c r="Z467" s="98">
        <v>1043</v>
      </c>
      <c r="AA467" s="99">
        <v>29878.89</v>
      </c>
      <c r="AB467" s="101">
        <v>8826</v>
      </c>
      <c r="AC467" s="100">
        <v>0.23581561822125813</v>
      </c>
      <c r="AD467" s="82"/>
      <c r="AE467" s="98">
        <v>8321</v>
      </c>
      <c r="AF467" s="98">
        <v>2938</v>
      </c>
      <c r="AG467" s="98">
        <v>16</v>
      </c>
      <c r="AH467" s="98">
        <v>127</v>
      </c>
      <c r="AI467" s="98">
        <v>3081</v>
      </c>
      <c r="AJ467" s="98">
        <v>11402</v>
      </c>
      <c r="AK467" s="99">
        <v>109394.368</v>
      </c>
      <c r="AL467" s="97">
        <v>647</v>
      </c>
      <c r="AM467" s="97">
        <v>2061</v>
      </c>
    </row>
    <row r="468" spans="1:39" x14ac:dyDescent="0.2">
      <c r="E468" s="77"/>
    </row>
    <row r="469" spans="1:39" s="83" customFormat="1" x14ac:dyDescent="0.2">
      <c r="A469" s="78"/>
      <c r="B469" s="78"/>
      <c r="C469" s="107"/>
      <c r="D469" s="79"/>
      <c r="E469" s="13"/>
      <c r="F469" s="78"/>
      <c r="G469" s="78"/>
      <c r="H469" s="78"/>
      <c r="I469" s="78"/>
      <c r="J469" s="78"/>
      <c r="K469" s="78"/>
      <c r="L469" s="78"/>
      <c r="M469" s="80"/>
      <c r="N469" s="80"/>
      <c r="O469" s="78" t="s">
        <v>1105</v>
      </c>
      <c r="P469" s="80"/>
      <c r="Q469" s="82"/>
      <c r="R469" s="81">
        <f>((R465-R467)/R467)</f>
        <v>-0.2861736334405145</v>
      </c>
      <c r="S469" s="81">
        <f>((S465-S467)/S467)</f>
        <v>-0.36050470406846857</v>
      </c>
      <c r="T469" s="82"/>
      <c r="U469" s="81">
        <f>((U465-U467)/U467)</f>
        <v>1.8363939899833055E-2</v>
      </c>
      <c r="V469" s="81">
        <f>((V465-V467)/V467)</f>
        <v>-9.3161794067193587E-3</v>
      </c>
      <c r="W469" s="81">
        <f>((W465-W467)/W467)</f>
        <v>-0.21170547514159849</v>
      </c>
      <c r="X469" s="81">
        <f>((X465-X467)/X467)</f>
        <v>2.8039256512969696E-2</v>
      </c>
      <c r="Y469" s="82"/>
      <c r="Z469" s="81">
        <f>((Z465-Z467)/Z467)</f>
        <v>6.0402684563758392E-2</v>
      </c>
      <c r="AA469" s="81">
        <f>((AA465-AA467)/AA467)</f>
        <v>4.6480642353179814E-2</v>
      </c>
      <c r="AB469" s="81">
        <f>((AB465-AB467)/AB467)</f>
        <v>0.18853387718105596</v>
      </c>
      <c r="AC469" s="81">
        <f>((AC465-AC467)/AC467)</f>
        <v>-2.1898427941974819E-2</v>
      </c>
      <c r="AD469" s="82"/>
      <c r="AE469" s="81">
        <f t="shared" ref="AE469:AM469" si="19">((AE465-AE467)/AE467)</f>
        <v>-8.9772863838480946E-2</v>
      </c>
      <c r="AF469" s="81">
        <f t="shared" si="19"/>
        <v>-8.7474472430224645E-2</v>
      </c>
      <c r="AG469" s="81">
        <f t="shared" si="19"/>
        <v>20.3125</v>
      </c>
      <c r="AH469" s="81">
        <f t="shared" si="19"/>
        <v>1.2677165354330708</v>
      </c>
      <c r="AI469" s="81">
        <f t="shared" si="19"/>
        <v>7.4326517364492042E-2</v>
      </c>
      <c r="AJ469" s="81">
        <f t="shared" si="19"/>
        <v>-4.5430626205928783E-2</v>
      </c>
      <c r="AK469" s="81">
        <f t="shared" si="19"/>
        <v>-3.2767116493602443E-2</v>
      </c>
      <c r="AL469" s="81">
        <f t="shared" si="19"/>
        <v>1.7264296754250386</v>
      </c>
      <c r="AM469" s="81">
        <f t="shared" si="19"/>
        <v>0</v>
      </c>
    </row>
    <row r="470" spans="1:39" x14ac:dyDescent="0.2">
      <c r="X470" s="95" t="s">
        <v>1911</v>
      </c>
      <c r="AC470" s="95" t="s">
        <v>1911</v>
      </c>
    </row>
  </sheetData>
  <sortState xmlns:xlrd2="http://schemas.microsoft.com/office/spreadsheetml/2017/richdata2" ref="A3:AM442">
    <sortCondition ref="E3:E442"/>
  </sortState>
  <mergeCells count="3">
    <mergeCell ref="A1:O1"/>
    <mergeCell ref="R1:AA1"/>
    <mergeCell ref="AE1:AK1"/>
  </mergeCells>
  <conditionalFormatting sqref="E1:E1048576">
    <cfRule type="duplicateValues" dxfId="18" priority="1"/>
  </conditionalFormatting>
  <conditionalFormatting sqref="E17:E19">
    <cfRule type="duplicateValues" dxfId="17" priority="14"/>
  </conditionalFormatting>
  <conditionalFormatting sqref="E423:E434">
    <cfRule type="duplicateValues" dxfId="16" priority="13"/>
  </conditionalFormatting>
  <conditionalFormatting sqref="E435">
    <cfRule type="duplicateValues" dxfId="15" priority="12"/>
  </conditionalFormatting>
  <conditionalFormatting sqref="E436:E439">
    <cfRule type="duplicateValues" dxfId="14" priority="11"/>
  </conditionalFormatting>
  <conditionalFormatting sqref="E464">
    <cfRule type="duplicateValues" dxfId="13" priority="2"/>
    <cfRule type="duplicateValues" dxfId="12" priority="3"/>
    <cfRule type="duplicateValues" dxfId="11" priority="4"/>
  </conditionalFormatting>
  <conditionalFormatting sqref="E470:E1048576 E1:E2">
    <cfRule type="duplicateValues" dxfId="10" priority="44"/>
  </conditionalFormatting>
  <conditionalFormatting sqref="F17:F19">
    <cfRule type="duplicateValues" dxfId="9" priority="1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C5EFD-D9B8-4E2A-8BA0-FFBC0B0C46A5}">
  <dimension ref="A1:AE469"/>
  <sheetViews>
    <sheetView topLeftCell="A37" workbookViewId="0">
      <selection activeCell="D1" sqref="D1:D1048576"/>
    </sheetView>
  </sheetViews>
  <sheetFormatPr baseColWidth="10" defaultColWidth="8.83203125" defaultRowHeight="15" x14ac:dyDescent="0.2"/>
  <cols>
    <col min="6" max="6" width="26.5" style="14" customWidth="1"/>
    <col min="8" max="17" width="10.83203125"/>
    <col min="29" max="29" width="26.5" style="14" customWidth="1"/>
  </cols>
  <sheetData>
    <row r="1" spans="1:29" ht="16" x14ac:dyDescent="0.2">
      <c r="A1" s="120" t="s">
        <v>1860</v>
      </c>
      <c r="B1" s="120" t="s">
        <v>1861</v>
      </c>
      <c r="C1" s="120" t="s">
        <v>1860</v>
      </c>
      <c r="D1" s="120" t="s">
        <v>1910</v>
      </c>
      <c r="F1"/>
      <c r="H1" s="120" t="s">
        <v>1926</v>
      </c>
      <c r="I1" s="120" t="s">
        <v>1927</v>
      </c>
      <c r="J1" s="120" t="s">
        <v>1860</v>
      </c>
      <c r="K1" s="120" t="s">
        <v>1861</v>
      </c>
      <c r="L1" s="120" t="s">
        <v>1928</v>
      </c>
      <c r="M1" s="120" t="s">
        <v>1929</v>
      </c>
      <c r="N1" s="120" t="s">
        <v>1930</v>
      </c>
      <c r="O1" s="120" t="s">
        <v>1910</v>
      </c>
      <c r="P1" s="120" t="s">
        <v>1931</v>
      </c>
      <c r="Q1" s="120" t="s">
        <v>1932</v>
      </c>
      <c r="AC1"/>
    </row>
    <row r="2" spans="1:29" ht="19" x14ac:dyDescent="0.2">
      <c r="A2" s="120" t="s">
        <v>21</v>
      </c>
      <c r="B2" s="120">
        <v>7</v>
      </c>
      <c r="C2" s="120" t="s">
        <v>21</v>
      </c>
      <c r="D2" s="120">
        <v>105</v>
      </c>
      <c r="F2" s="54"/>
      <c r="H2" s="120" t="s">
        <v>1666</v>
      </c>
      <c r="I2" s="120" t="s">
        <v>1940</v>
      </c>
      <c r="J2" s="120" t="s">
        <v>21</v>
      </c>
      <c r="K2" s="120">
        <v>7</v>
      </c>
      <c r="L2" s="120">
        <v>105</v>
      </c>
      <c r="M2" s="120">
        <v>0</v>
      </c>
      <c r="N2" s="120">
        <v>0</v>
      </c>
      <c r="O2" s="120">
        <v>105</v>
      </c>
      <c r="P2" s="120">
        <v>7.24</v>
      </c>
      <c r="Q2" s="120">
        <v>112.24</v>
      </c>
      <c r="AC2" s="54"/>
    </row>
    <row r="3" spans="1:29" ht="16" x14ac:dyDescent="0.2">
      <c r="A3" s="120" t="s">
        <v>44</v>
      </c>
      <c r="B3" s="120">
        <v>3</v>
      </c>
      <c r="C3" s="120" t="s">
        <v>44</v>
      </c>
      <c r="D3" s="120">
        <v>39</v>
      </c>
      <c r="F3" s="49"/>
      <c r="H3" s="120" t="s">
        <v>1747</v>
      </c>
      <c r="I3" s="120" t="s">
        <v>1935</v>
      </c>
      <c r="J3" s="120" t="s">
        <v>44</v>
      </c>
      <c r="K3" s="120">
        <v>3</v>
      </c>
      <c r="L3" s="120">
        <v>39</v>
      </c>
      <c r="M3" s="120">
        <v>0</v>
      </c>
      <c r="N3" s="120">
        <v>0</v>
      </c>
      <c r="O3" s="120">
        <v>39</v>
      </c>
      <c r="P3" s="120">
        <v>1.56</v>
      </c>
      <c r="Q3" s="120">
        <v>40.56</v>
      </c>
      <c r="AC3" s="49"/>
    </row>
    <row r="4" spans="1:29" ht="16" x14ac:dyDescent="0.2">
      <c r="A4" s="120" t="s">
        <v>50</v>
      </c>
      <c r="B4" s="120">
        <v>12</v>
      </c>
      <c r="C4" s="120" t="s">
        <v>50</v>
      </c>
      <c r="D4" s="120">
        <v>180</v>
      </c>
      <c r="F4" s="49"/>
      <c r="H4" s="120" t="s">
        <v>49</v>
      </c>
      <c r="I4" s="120" t="s">
        <v>1933</v>
      </c>
      <c r="J4" s="120" t="s">
        <v>50</v>
      </c>
      <c r="K4" s="120">
        <v>12</v>
      </c>
      <c r="L4" s="120">
        <v>180</v>
      </c>
      <c r="M4" s="120">
        <v>0</v>
      </c>
      <c r="N4" s="120">
        <v>0</v>
      </c>
      <c r="O4" s="120">
        <v>180</v>
      </c>
      <c r="P4" s="120">
        <v>11.27</v>
      </c>
      <c r="Q4" s="120">
        <v>191.27</v>
      </c>
      <c r="AC4" s="49"/>
    </row>
    <row r="5" spans="1:29" ht="16" x14ac:dyDescent="0.2">
      <c r="A5" s="120" t="s">
        <v>52</v>
      </c>
      <c r="B5" s="120">
        <v>8</v>
      </c>
      <c r="C5" s="120" t="s">
        <v>52</v>
      </c>
      <c r="D5" s="120">
        <v>117.75</v>
      </c>
      <c r="F5" s="49"/>
      <c r="H5" s="120" t="s">
        <v>49</v>
      </c>
      <c r="I5" s="120" t="s">
        <v>1938</v>
      </c>
      <c r="J5" s="120" t="s">
        <v>52</v>
      </c>
      <c r="K5" s="120">
        <v>8</v>
      </c>
      <c r="L5" s="120">
        <v>120</v>
      </c>
      <c r="M5" s="120">
        <v>-2.25</v>
      </c>
      <c r="N5" s="120">
        <v>0</v>
      </c>
      <c r="O5" s="120">
        <v>117.75</v>
      </c>
      <c r="P5" s="120">
        <v>4.95</v>
      </c>
      <c r="Q5" s="120">
        <v>122.7</v>
      </c>
      <c r="AC5" s="49"/>
    </row>
    <row r="6" spans="1:29" ht="16" x14ac:dyDescent="0.2">
      <c r="A6" s="120" t="s">
        <v>56</v>
      </c>
      <c r="B6" s="120">
        <v>9</v>
      </c>
      <c r="C6" s="120" t="s">
        <v>56</v>
      </c>
      <c r="D6" s="120">
        <v>135</v>
      </c>
      <c r="F6" s="49"/>
      <c r="H6" s="120" t="s">
        <v>49</v>
      </c>
      <c r="I6" s="120" t="s">
        <v>1937</v>
      </c>
      <c r="J6" s="120" t="s">
        <v>56</v>
      </c>
      <c r="K6" s="120">
        <v>9</v>
      </c>
      <c r="L6" s="120">
        <v>135</v>
      </c>
      <c r="M6" s="120">
        <v>0</v>
      </c>
      <c r="N6" s="120">
        <v>0</v>
      </c>
      <c r="O6" s="120">
        <v>135</v>
      </c>
      <c r="P6" s="120">
        <v>8.1</v>
      </c>
      <c r="Q6" s="120">
        <v>143.1</v>
      </c>
      <c r="AC6" s="49"/>
    </row>
    <row r="7" spans="1:29" ht="16" x14ac:dyDescent="0.2">
      <c r="A7" s="120" t="s">
        <v>58</v>
      </c>
      <c r="B7" s="120">
        <v>3</v>
      </c>
      <c r="C7" s="120" t="s">
        <v>58</v>
      </c>
      <c r="D7" s="120">
        <v>45</v>
      </c>
      <c r="F7" s="49"/>
      <c r="H7" s="120" t="s">
        <v>49</v>
      </c>
      <c r="I7" s="120" t="s">
        <v>1935</v>
      </c>
      <c r="J7" s="120" t="s">
        <v>58</v>
      </c>
      <c r="K7" s="120">
        <v>3</v>
      </c>
      <c r="L7" s="120">
        <v>45</v>
      </c>
      <c r="M7" s="120">
        <v>0</v>
      </c>
      <c r="N7" s="120">
        <v>0</v>
      </c>
      <c r="O7" s="120">
        <v>45</v>
      </c>
      <c r="P7" s="120">
        <v>3.6</v>
      </c>
      <c r="Q7" s="120">
        <v>48.6</v>
      </c>
      <c r="AC7" s="49"/>
    </row>
    <row r="8" spans="1:29" ht="16" x14ac:dyDescent="0.2">
      <c r="A8" s="120" t="s">
        <v>66</v>
      </c>
      <c r="B8" s="120">
        <v>3</v>
      </c>
      <c r="C8" s="120" t="s">
        <v>66</v>
      </c>
      <c r="D8" s="120">
        <v>36</v>
      </c>
      <c r="F8" s="49"/>
      <c r="H8" s="120" t="s">
        <v>1650</v>
      </c>
      <c r="I8" s="120" t="s">
        <v>1936</v>
      </c>
      <c r="J8" s="120" t="s">
        <v>66</v>
      </c>
      <c r="K8" s="120">
        <v>3</v>
      </c>
      <c r="L8" s="120">
        <v>54</v>
      </c>
      <c r="M8" s="120">
        <v>-18</v>
      </c>
      <c r="N8" s="120">
        <v>0</v>
      </c>
      <c r="O8" s="120">
        <v>36</v>
      </c>
      <c r="P8" s="120">
        <v>0</v>
      </c>
      <c r="Q8" s="120">
        <v>36</v>
      </c>
      <c r="AC8" s="49"/>
    </row>
    <row r="9" spans="1:29" ht="16" x14ac:dyDescent="0.2">
      <c r="A9" s="120" t="s">
        <v>69</v>
      </c>
      <c r="B9" s="120">
        <v>4</v>
      </c>
      <c r="C9" s="120" t="s">
        <v>69</v>
      </c>
      <c r="D9" s="120">
        <v>72</v>
      </c>
      <c r="F9" s="49"/>
      <c r="H9" s="120" t="s">
        <v>1650</v>
      </c>
      <c r="I9" s="120" t="s">
        <v>1933</v>
      </c>
      <c r="J9" s="120" t="s">
        <v>69</v>
      </c>
      <c r="K9" s="120">
        <v>4</v>
      </c>
      <c r="L9" s="120">
        <v>72</v>
      </c>
      <c r="M9" s="120">
        <v>0</v>
      </c>
      <c r="N9" s="120">
        <v>0</v>
      </c>
      <c r="O9" s="120">
        <v>72</v>
      </c>
      <c r="P9" s="120">
        <v>4.3600000000000003</v>
      </c>
      <c r="Q9" s="120">
        <v>76.36</v>
      </c>
      <c r="AC9" s="49"/>
    </row>
    <row r="10" spans="1:29" ht="16" x14ac:dyDescent="0.2">
      <c r="A10" s="120" t="s">
        <v>71</v>
      </c>
      <c r="B10" s="120">
        <v>5</v>
      </c>
      <c r="C10" s="120" t="s">
        <v>71</v>
      </c>
      <c r="D10" s="120">
        <v>90</v>
      </c>
      <c r="F10" s="49"/>
      <c r="H10" s="120" t="s">
        <v>1650</v>
      </c>
      <c r="I10" s="120" t="s">
        <v>1938</v>
      </c>
      <c r="J10" s="120" t="s">
        <v>71</v>
      </c>
      <c r="K10" s="120">
        <v>5</v>
      </c>
      <c r="L10" s="120">
        <v>90</v>
      </c>
      <c r="M10" s="120">
        <v>0</v>
      </c>
      <c r="N10" s="120">
        <v>0</v>
      </c>
      <c r="O10" s="120">
        <v>90</v>
      </c>
      <c r="P10" s="120">
        <v>6.76</v>
      </c>
      <c r="Q10" s="120">
        <v>96.76</v>
      </c>
      <c r="AC10" s="49"/>
    </row>
    <row r="11" spans="1:29" ht="16" x14ac:dyDescent="0.2">
      <c r="A11" s="120" t="s">
        <v>104</v>
      </c>
      <c r="B11" s="120">
        <v>5</v>
      </c>
      <c r="C11" s="120" t="s">
        <v>104</v>
      </c>
      <c r="D11" s="120">
        <v>65.8</v>
      </c>
      <c r="F11" s="49"/>
      <c r="H11" s="120" t="s">
        <v>1660</v>
      </c>
      <c r="I11" s="120" t="s">
        <v>1933</v>
      </c>
      <c r="J11" s="120" t="s">
        <v>104</v>
      </c>
      <c r="K11" s="120">
        <v>5</v>
      </c>
      <c r="L11" s="120">
        <v>70</v>
      </c>
      <c r="M11" s="120">
        <v>-4.2</v>
      </c>
      <c r="N11" s="120">
        <v>0</v>
      </c>
      <c r="O11" s="120">
        <v>65.8</v>
      </c>
      <c r="P11" s="120">
        <v>5.32</v>
      </c>
      <c r="Q11" s="120">
        <v>71.12</v>
      </c>
      <c r="AC11" s="49"/>
    </row>
    <row r="12" spans="1:29" ht="16" x14ac:dyDescent="0.2">
      <c r="A12" s="120" t="s">
        <v>108</v>
      </c>
      <c r="B12" s="120">
        <v>2</v>
      </c>
      <c r="C12" s="120" t="s">
        <v>108</v>
      </c>
      <c r="D12" s="120">
        <v>44</v>
      </c>
      <c r="F12" s="49"/>
      <c r="H12" s="120" t="s">
        <v>1659</v>
      </c>
      <c r="I12" s="120" t="s">
        <v>1936</v>
      </c>
      <c r="J12" s="120" t="s">
        <v>108</v>
      </c>
      <c r="K12" s="120">
        <v>2</v>
      </c>
      <c r="L12" s="120">
        <v>44</v>
      </c>
      <c r="M12" s="120">
        <v>0</v>
      </c>
      <c r="N12" s="120">
        <v>0</v>
      </c>
      <c r="O12" s="120">
        <v>44</v>
      </c>
      <c r="P12" s="120">
        <v>0</v>
      </c>
      <c r="Q12" s="120">
        <v>44</v>
      </c>
      <c r="AC12" s="49"/>
    </row>
    <row r="13" spans="1:29" ht="16" x14ac:dyDescent="0.2">
      <c r="A13" s="120" t="s">
        <v>114</v>
      </c>
      <c r="B13" s="120">
        <v>1</v>
      </c>
      <c r="C13" s="120" t="s">
        <v>114</v>
      </c>
      <c r="D13" s="120">
        <v>22</v>
      </c>
      <c r="F13" s="49"/>
      <c r="H13" s="120" t="s">
        <v>1659</v>
      </c>
      <c r="I13" s="120" t="s">
        <v>1938</v>
      </c>
      <c r="J13" s="120" t="s">
        <v>114</v>
      </c>
      <c r="K13" s="120">
        <v>1</v>
      </c>
      <c r="L13" s="120">
        <v>22</v>
      </c>
      <c r="M13" s="120">
        <v>0</v>
      </c>
      <c r="N13" s="120">
        <v>0</v>
      </c>
      <c r="O13" s="120">
        <v>22</v>
      </c>
      <c r="P13" s="120">
        <v>0.96</v>
      </c>
      <c r="Q13" s="120">
        <v>22.96</v>
      </c>
      <c r="AC13" s="49"/>
    </row>
    <row r="14" spans="1:29" ht="16" x14ac:dyDescent="0.2">
      <c r="A14" s="120" t="s">
        <v>133</v>
      </c>
      <c r="B14" s="120">
        <v>18</v>
      </c>
      <c r="C14" s="120" t="s">
        <v>133</v>
      </c>
      <c r="D14" s="120">
        <v>240.8</v>
      </c>
      <c r="F14" s="49"/>
      <c r="H14" s="120" t="s">
        <v>1106</v>
      </c>
      <c r="I14" s="120" t="s">
        <v>1933</v>
      </c>
      <c r="J14" s="120" t="s">
        <v>133</v>
      </c>
      <c r="K14" s="120">
        <v>18</v>
      </c>
      <c r="L14" s="120">
        <v>252</v>
      </c>
      <c r="M14" s="120">
        <v>-11.2</v>
      </c>
      <c r="N14" s="120">
        <v>0</v>
      </c>
      <c r="O14" s="120">
        <v>240.8</v>
      </c>
      <c r="P14" s="120">
        <v>20.76</v>
      </c>
      <c r="Q14" s="120">
        <v>261.56</v>
      </c>
      <c r="AC14" s="49"/>
    </row>
    <row r="15" spans="1:29" ht="16" x14ac:dyDescent="0.2">
      <c r="A15" s="120" t="s">
        <v>135</v>
      </c>
      <c r="B15" s="120">
        <v>5</v>
      </c>
      <c r="C15" s="120" t="s">
        <v>135</v>
      </c>
      <c r="D15" s="120">
        <v>70</v>
      </c>
      <c r="F15" s="49"/>
      <c r="H15" s="120" t="s">
        <v>1106</v>
      </c>
      <c r="I15" s="120" t="s">
        <v>1938</v>
      </c>
      <c r="J15" s="120" t="s">
        <v>135</v>
      </c>
      <c r="K15" s="120">
        <v>5</v>
      </c>
      <c r="L15" s="120">
        <v>70</v>
      </c>
      <c r="M15" s="120">
        <v>0</v>
      </c>
      <c r="N15" s="120">
        <v>0</v>
      </c>
      <c r="O15" s="120">
        <v>70</v>
      </c>
      <c r="P15" s="120">
        <v>0</v>
      </c>
      <c r="Q15" s="120">
        <v>70</v>
      </c>
      <c r="AC15" s="49"/>
    </row>
    <row r="16" spans="1:29" ht="16" x14ac:dyDescent="0.2">
      <c r="A16" s="120" t="s">
        <v>146</v>
      </c>
      <c r="B16" s="120">
        <v>1</v>
      </c>
      <c r="C16" s="120" t="s">
        <v>146</v>
      </c>
      <c r="D16" s="120">
        <v>14</v>
      </c>
      <c r="F16" s="49"/>
      <c r="H16" s="120" t="s">
        <v>1672</v>
      </c>
      <c r="I16" s="120" t="s">
        <v>1937</v>
      </c>
      <c r="J16" s="120" t="s">
        <v>146</v>
      </c>
      <c r="K16" s="120">
        <v>1</v>
      </c>
      <c r="L16" s="120">
        <v>14</v>
      </c>
      <c r="M16" s="120">
        <v>0</v>
      </c>
      <c r="N16" s="120">
        <v>0</v>
      </c>
      <c r="O16" s="120">
        <v>14</v>
      </c>
      <c r="P16" s="120">
        <v>0.74</v>
      </c>
      <c r="Q16" s="120">
        <v>14.74</v>
      </c>
      <c r="AC16" s="49"/>
    </row>
    <row r="17" spans="1:29" ht="16" x14ac:dyDescent="0.2">
      <c r="A17" s="120" t="s">
        <v>153</v>
      </c>
      <c r="B17" s="120">
        <v>2</v>
      </c>
      <c r="C17" s="120" t="s">
        <v>153</v>
      </c>
      <c r="D17" s="120">
        <v>32</v>
      </c>
      <c r="F17" s="49"/>
      <c r="H17" s="120" t="s">
        <v>156</v>
      </c>
      <c r="I17" s="120" t="s">
        <v>1937</v>
      </c>
      <c r="J17" s="120" t="s">
        <v>153</v>
      </c>
      <c r="K17" s="120">
        <v>2</v>
      </c>
      <c r="L17" s="120">
        <v>32</v>
      </c>
      <c r="M17" s="120">
        <v>0</v>
      </c>
      <c r="N17" s="120">
        <v>0</v>
      </c>
      <c r="O17" s="120">
        <v>32</v>
      </c>
      <c r="P17" s="120">
        <v>2.8</v>
      </c>
      <c r="Q17" s="120">
        <v>34.799999999999997</v>
      </c>
      <c r="AC17" s="49"/>
    </row>
    <row r="18" spans="1:29" ht="16" x14ac:dyDescent="0.2">
      <c r="A18" s="120" t="s">
        <v>175</v>
      </c>
      <c r="B18" s="120">
        <v>3</v>
      </c>
      <c r="C18" s="120" t="s">
        <v>175</v>
      </c>
      <c r="D18" s="120">
        <v>45</v>
      </c>
      <c r="F18" s="49"/>
      <c r="H18" s="120" t="s">
        <v>1664</v>
      </c>
      <c r="I18" s="120" t="s">
        <v>1933</v>
      </c>
      <c r="J18" s="120" t="s">
        <v>175</v>
      </c>
      <c r="K18" s="120">
        <v>3</v>
      </c>
      <c r="L18" s="120">
        <v>45</v>
      </c>
      <c r="M18" s="120">
        <v>0</v>
      </c>
      <c r="N18" s="120">
        <v>0</v>
      </c>
      <c r="O18" s="120">
        <v>45</v>
      </c>
      <c r="P18" s="120">
        <v>4.0999999999999996</v>
      </c>
      <c r="Q18" s="120">
        <v>49.1</v>
      </c>
      <c r="AC18" s="49"/>
    </row>
    <row r="19" spans="1:29" ht="16" x14ac:dyDescent="0.2">
      <c r="A19" s="120" t="s">
        <v>177</v>
      </c>
      <c r="B19" s="120">
        <v>6</v>
      </c>
      <c r="C19" s="120" t="s">
        <v>177</v>
      </c>
      <c r="D19" s="120">
        <v>90</v>
      </c>
      <c r="F19" s="49"/>
      <c r="H19" s="120" t="s">
        <v>1664</v>
      </c>
      <c r="I19" s="120" t="s">
        <v>1938</v>
      </c>
      <c r="J19" s="120" t="s">
        <v>177</v>
      </c>
      <c r="K19" s="120">
        <v>6</v>
      </c>
      <c r="L19" s="120">
        <v>90</v>
      </c>
      <c r="M19" s="120">
        <v>0</v>
      </c>
      <c r="N19" s="120">
        <v>0</v>
      </c>
      <c r="O19" s="120">
        <v>90</v>
      </c>
      <c r="P19" s="120">
        <v>7.43</v>
      </c>
      <c r="Q19" s="120">
        <v>97.43</v>
      </c>
      <c r="AC19" s="49"/>
    </row>
    <row r="20" spans="1:29" ht="16" x14ac:dyDescent="0.2">
      <c r="A20" s="120" t="s">
        <v>179</v>
      </c>
      <c r="B20" s="120">
        <v>12</v>
      </c>
      <c r="C20" s="120" t="s">
        <v>179</v>
      </c>
      <c r="D20" s="120">
        <v>180</v>
      </c>
      <c r="F20" s="51"/>
      <c r="H20" s="120" t="s">
        <v>1664</v>
      </c>
      <c r="I20" s="120" t="s">
        <v>1942</v>
      </c>
      <c r="J20" s="120" t="s">
        <v>179</v>
      </c>
      <c r="K20" s="120">
        <v>12</v>
      </c>
      <c r="L20" s="120">
        <v>180</v>
      </c>
      <c r="M20" s="120">
        <v>0</v>
      </c>
      <c r="N20" s="120">
        <v>0</v>
      </c>
      <c r="O20" s="120">
        <v>180</v>
      </c>
      <c r="P20" s="120">
        <v>12.6</v>
      </c>
      <c r="Q20" s="120">
        <v>192.6</v>
      </c>
      <c r="AC20" s="51"/>
    </row>
    <row r="21" spans="1:29" ht="16" x14ac:dyDescent="0.2">
      <c r="A21" s="120" t="s">
        <v>183</v>
      </c>
      <c r="B21" s="120">
        <v>2</v>
      </c>
      <c r="C21" s="120" t="s">
        <v>183</v>
      </c>
      <c r="D21" s="120">
        <v>27.01</v>
      </c>
      <c r="F21" s="51"/>
      <c r="H21" s="120" t="s">
        <v>1664</v>
      </c>
      <c r="I21" s="120" t="s">
        <v>1937</v>
      </c>
      <c r="J21" s="120" t="s">
        <v>183</v>
      </c>
      <c r="K21" s="120">
        <v>2</v>
      </c>
      <c r="L21" s="120">
        <v>30</v>
      </c>
      <c r="M21" s="120">
        <v>-2.99</v>
      </c>
      <c r="N21" s="120">
        <v>0</v>
      </c>
      <c r="O21" s="120">
        <v>27.01</v>
      </c>
      <c r="P21" s="120">
        <v>1.89</v>
      </c>
      <c r="Q21" s="120">
        <v>28.9</v>
      </c>
      <c r="AC21" s="51"/>
    </row>
    <row r="22" spans="1:29" ht="16" x14ac:dyDescent="0.2">
      <c r="A22" s="120" t="s">
        <v>185</v>
      </c>
      <c r="B22" s="120">
        <v>6</v>
      </c>
      <c r="C22" s="120" t="s">
        <v>185</v>
      </c>
      <c r="D22" s="120">
        <v>90</v>
      </c>
      <c r="F22" s="51"/>
      <c r="H22" s="120" t="s">
        <v>1664</v>
      </c>
      <c r="I22" s="120" t="s">
        <v>1935</v>
      </c>
      <c r="J22" s="120" t="s">
        <v>185</v>
      </c>
      <c r="K22" s="120">
        <v>6</v>
      </c>
      <c r="L22" s="120">
        <v>90</v>
      </c>
      <c r="M22" s="120">
        <v>0</v>
      </c>
      <c r="N22" s="120">
        <v>0</v>
      </c>
      <c r="O22" s="120">
        <v>90</v>
      </c>
      <c r="P22" s="120">
        <v>7.43</v>
      </c>
      <c r="Q22" s="120">
        <v>97.43</v>
      </c>
      <c r="AC22" s="51"/>
    </row>
    <row r="23" spans="1:29" ht="16" x14ac:dyDescent="0.2">
      <c r="A23" s="120" t="s">
        <v>231</v>
      </c>
      <c r="B23" s="120">
        <v>3</v>
      </c>
      <c r="C23" s="120" t="s">
        <v>231</v>
      </c>
      <c r="D23" s="120">
        <v>48.45</v>
      </c>
      <c r="F23" s="49"/>
      <c r="H23" s="120" t="s">
        <v>1671</v>
      </c>
      <c r="I23" s="120" t="s">
        <v>1966</v>
      </c>
      <c r="J23" s="120" t="s">
        <v>231</v>
      </c>
      <c r="K23" s="120">
        <v>3</v>
      </c>
      <c r="L23" s="120">
        <v>57</v>
      </c>
      <c r="M23" s="120">
        <v>-8.5500000000000007</v>
      </c>
      <c r="N23" s="120">
        <v>0</v>
      </c>
      <c r="O23" s="120">
        <v>48.45</v>
      </c>
      <c r="P23" s="120">
        <v>2.12</v>
      </c>
      <c r="Q23" s="120">
        <v>50.57</v>
      </c>
      <c r="AC23" s="49"/>
    </row>
    <row r="24" spans="1:29" ht="16" x14ac:dyDescent="0.2">
      <c r="A24" s="120" t="s">
        <v>245</v>
      </c>
      <c r="B24" s="120">
        <v>2</v>
      </c>
      <c r="C24" s="120" t="s">
        <v>245</v>
      </c>
      <c r="D24" s="120">
        <v>42</v>
      </c>
      <c r="F24" s="49"/>
      <c r="H24" s="120" t="s">
        <v>1107</v>
      </c>
      <c r="I24" s="120" t="s">
        <v>2128</v>
      </c>
      <c r="J24" s="120" t="s">
        <v>245</v>
      </c>
      <c r="K24" s="120">
        <v>2</v>
      </c>
      <c r="L24" s="120">
        <v>42</v>
      </c>
      <c r="M24" s="120">
        <v>0</v>
      </c>
      <c r="N24" s="120">
        <v>0</v>
      </c>
      <c r="O24" s="120">
        <v>42</v>
      </c>
      <c r="P24" s="120">
        <v>0</v>
      </c>
      <c r="Q24" s="120">
        <v>42</v>
      </c>
      <c r="AC24" s="49"/>
    </row>
    <row r="25" spans="1:29" ht="16" x14ac:dyDescent="0.2">
      <c r="A25" s="120" t="s">
        <v>251</v>
      </c>
      <c r="B25" s="120">
        <v>5</v>
      </c>
      <c r="C25" s="120" t="s">
        <v>251</v>
      </c>
      <c r="D25" s="120">
        <v>105</v>
      </c>
      <c r="F25" s="49"/>
      <c r="H25" s="120" t="s">
        <v>1107</v>
      </c>
      <c r="I25" s="120" t="s">
        <v>2129</v>
      </c>
      <c r="J25" s="120" t="s">
        <v>251</v>
      </c>
      <c r="K25" s="120">
        <v>5</v>
      </c>
      <c r="L25" s="120">
        <v>105</v>
      </c>
      <c r="M25" s="120">
        <v>0</v>
      </c>
      <c r="N25" s="120">
        <v>0</v>
      </c>
      <c r="O25" s="120">
        <v>105</v>
      </c>
      <c r="P25" s="120">
        <v>9.98</v>
      </c>
      <c r="Q25" s="120">
        <v>114.98</v>
      </c>
      <c r="AC25" s="49"/>
    </row>
    <row r="26" spans="1:29" ht="16" x14ac:dyDescent="0.2">
      <c r="A26" s="120" t="s">
        <v>994</v>
      </c>
      <c r="B26" s="120">
        <v>1</v>
      </c>
      <c r="C26" s="120" t="s">
        <v>994</v>
      </c>
      <c r="D26" s="120">
        <v>21</v>
      </c>
      <c r="F26" s="49"/>
      <c r="H26" s="120" t="s">
        <v>1107</v>
      </c>
      <c r="I26" s="120" t="s">
        <v>2130</v>
      </c>
      <c r="J26" s="120" t="s">
        <v>994</v>
      </c>
      <c r="K26" s="120">
        <v>1</v>
      </c>
      <c r="L26" s="120">
        <v>21</v>
      </c>
      <c r="M26" s="120">
        <v>0</v>
      </c>
      <c r="N26" s="120">
        <v>0</v>
      </c>
      <c r="O26" s="120">
        <v>21</v>
      </c>
      <c r="P26" s="120">
        <v>1.1599999999999999</v>
      </c>
      <c r="Q26" s="120">
        <v>22.16</v>
      </c>
      <c r="AC26" s="49"/>
    </row>
    <row r="27" spans="1:29" ht="16" x14ac:dyDescent="0.2">
      <c r="A27" s="120" t="s">
        <v>262</v>
      </c>
      <c r="B27" s="120">
        <v>2</v>
      </c>
      <c r="C27" s="120" t="s">
        <v>262</v>
      </c>
      <c r="D27" s="120">
        <v>36.1</v>
      </c>
      <c r="F27" s="49"/>
      <c r="H27" s="120" t="s">
        <v>1663</v>
      </c>
      <c r="I27" s="120" t="s">
        <v>2131</v>
      </c>
      <c r="J27" s="120" t="s">
        <v>262</v>
      </c>
      <c r="K27" s="120">
        <v>2</v>
      </c>
      <c r="L27" s="120">
        <v>38</v>
      </c>
      <c r="M27" s="120">
        <v>-1.9</v>
      </c>
      <c r="N27" s="120">
        <v>0</v>
      </c>
      <c r="O27" s="120">
        <v>36.1</v>
      </c>
      <c r="P27" s="120">
        <v>0</v>
      </c>
      <c r="Q27" s="120">
        <v>36.1</v>
      </c>
      <c r="AC27" s="49"/>
    </row>
    <row r="28" spans="1:29" ht="16" x14ac:dyDescent="0.2">
      <c r="A28" s="120" t="s">
        <v>267</v>
      </c>
      <c r="B28" s="120">
        <v>6</v>
      </c>
      <c r="C28" s="120" t="s">
        <v>267</v>
      </c>
      <c r="D28" s="120">
        <v>56.1</v>
      </c>
      <c r="F28" s="49"/>
      <c r="H28" s="120" t="s">
        <v>1755</v>
      </c>
      <c r="I28" s="120" t="s">
        <v>1933</v>
      </c>
      <c r="J28" s="120" t="s">
        <v>267</v>
      </c>
      <c r="K28" s="120">
        <v>6</v>
      </c>
      <c r="L28" s="120">
        <v>66</v>
      </c>
      <c r="M28" s="120">
        <v>-9.9</v>
      </c>
      <c r="N28" s="120">
        <v>0</v>
      </c>
      <c r="O28" s="120">
        <v>56.1</v>
      </c>
      <c r="P28" s="120">
        <v>2.8</v>
      </c>
      <c r="Q28" s="120">
        <v>58.9</v>
      </c>
      <c r="AC28" s="49"/>
    </row>
    <row r="29" spans="1:29" ht="16" x14ac:dyDescent="0.2">
      <c r="A29" s="120" t="s">
        <v>287</v>
      </c>
      <c r="B29" s="120">
        <v>1</v>
      </c>
      <c r="C29" s="120" t="s">
        <v>287</v>
      </c>
      <c r="D29" s="120">
        <v>12</v>
      </c>
      <c r="F29" s="49"/>
      <c r="H29" s="120" t="s">
        <v>1836</v>
      </c>
      <c r="I29" s="120" t="s">
        <v>1933</v>
      </c>
      <c r="J29" s="120" t="s">
        <v>287</v>
      </c>
      <c r="K29" s="120">
        <v>1</v>
      </c>
      <c r="L29" s="120">
        <v>12</v>
      </c>
      <c r="M29" s="120">
        <v>0</v>
      </c>
      <c r="N29" s="120">
        <v>0</v>
      </c>
      <c r="O29" s="120">
        <v>12</v>
      </c>
      <c r="P29" s="120">
        <v>0.84</v>
      </c>
      <c r="Q29" s="120">
        <v>12.84</v>
      </c>
      <c r="AC29" s="49"/>
    </row>
    <row r="30" spans="1:29" ht="16" x14ac:dyDescent="0.2">
      <c r="A30" s="120" t="s">
        <v>289</v>
      </c>
      <c r="B30" s="120">
        <v>1</v>
      </c>
      <c r="C30" s="120" t="s">
        <v>289</v>
      </c>
      <c r="D30" s="120">
        <v>10.199999999999999</v>
      </c>
      <c r="F30" s="49"/>
      <c r="H30" s="120" t="s">
        <v>1836</v>
      </c>
      <c r="I30" s="120" t="s">
        <v>1938</v>
      </c>
      <c r="J30" s="120" t="s">
        <v>289</v>
      </c>
      <c r="K30" s="120">
        <v>1</v>
      </c>
      <c r="L30" s="120">
        <v>12</v>
      </c>
      <c r="M30" s="120">
        <v>-1.8</v>
      </c>
      <c r="N30" s="120">
        <v>0</v>
      </c>
      <c r="O30" s="120">
        <v>10.199999999999999</v>
      </c>
      <c r="P30" s="120">
        <v>0.56000000000000005</v>
      </c>
      <c r="Q30" s="120">
        <v>10.76</v>
      </c>
      <c r="AC30" s="49"/>
    </row>
    <row r="31" spans="1:29" ht="16" x14ac:dyDescent="0.2">
      <c r="A31" s="120" t="s">
        <v>313</v>
      </c>
      <c r="B31" s="120">
        <v>3</v>
      </c>
      <c r="C31" s="120" t="s">
        <v>313</v>
      </c>
      <c r="D31" s="120">
        <v>63</v>
      </c>
      <c r="F31" s="49"/>
      <c r="H31" s="120" t="s">
        <v>1756</v>
      </c>
      <c r="I31" s="120" t="s">
        <v>2274</v>
      </c>
      <c r="J31" s="120" t="s">
        <v>313</v>
      </c>
      <c r="K31" s="120">
        <v>3</v>
      </c>
      <c r="L31" s="120">
        <v>63</v>
      </c>
      <c r="M31" s="120">
        <v>0</v>
      </c>
      <c r="N31" s="120">
        <v>0</v>
      </c>
      <c r="O31" s="120">
        <v>63</v>
      </c>
      <c r="P31" s="120">
        <v>0</v>
      </c>
      <c r="Q31" s="120">
        <v>63</v>
      </c>
      <c r="AC31" s="49"/>
    </row>
    <row r="32" spans="1:29" ht="16" x14ac:dyDescent="0.2">
      <c r="A32" s="120" t="s">
        <v>322</v>
      </c>
      <c r="B32" s="120">
        <v>1</v>
      </c>
      <c r="C32" s="120" t="s">
        <v>322</v>
      </c>
      <c r="D32" s="120">
        <v>20</v>
      </c>
      <c r="F32" s="49"/>
      <c r="H32" s="120" t="s">
        <v>1108</v>
      </c>
      <c r="I32" s="120" t="s">
        <v>2280</v>
      </c>
      <c r="J32" s="120" t="s">
        <v>322</v>
      </c>
      <c r="K32" s="120">
        <v>1</v>
      </c>
      <c r="L32" s="120">
        <v>20</v>
      </c>
      <c r="M32" s="120">
        <v>0</v>
      </c>
      <c r="N32" s="120">
        <v>0</v>
      </c>
      <c r="O32" s="120">
        <v>20</v>
      </c>
      <c r="P32" s="120">
        <v>1.55</v>
      </c>
      <c r="Q32" s="120">
        <v>21.55</v>
      </c>
      <c r="AC32" s="49"/>
    </row>
    <row r="33" spans="1:29" ht="16" x14ac:dyDescent="0.2">
      <c r="A33" s="120" t="s">
        <v>339</v>
      </c>
      <c r="B33" s="120">
        <v>1</v>
      </c>
      <c r="C33" s="120" t="s">
        <v>339</v>
      </c>
      <c r="D33" s="120">
        <v>20</v>
      </c>
      <c r="F33" s="49"/>
      <c r="H33" s="120" t="s">
        <v>1108</v>
      </c>
      <c r="I33" s="120" t="s">
        <v>2279</v>
      </c>
      <c r="J33" s="120" t="s">
        <v>339</v>
      </c>
      <c r="K33" s="120">
        <v>1</v>
      </c>
      <c r="L33" s="120">
        <v>20</v>
      </c>
      <c r="M33" s="120">
        <v>0</v>
      </c>
      <c r="N33" s="120">
        <v>0</v>
      </c>
      <c r="O33" s="120">
        <v>20</v>
      </c>
      <c r="P33" s="120">
        <v>1.55</v>
      </c>
      <c r="Q33" s="120">
        <v>21.55</v>
      </c>
      <c r="AC33" s="49"/>
    </row>
    <row r="34" spans="1:29" ht="16" x14ac:dyDescent="0.2">
      <c r="A34" s="120" t="s">
        <v>453</v>
      </c>
      <c r="B34" s="120">
        <v>1</v>
      </c>
      <c r="C34" s="120" t="s">
        <v>453</v>
      </c>
      <c r="D34" s="120">
        <v>16</v>
      </c>
      <c r="F34" s="49"/>
      <c r="H34" s="120" t="s">
        <v>1825</v>
      </c>
      <c r="I34" s="120" t="s">
        <v>2282</v>
      </c>
      <c r="J34" s="120" t="s">
        <v>453</v>
      </c>
      <c r="K34" s="120">
        <v>1</v>
      </c>
      <c r="L34" s="120">
        <v>16</v>
      </c>
      <c r="M34" s="120">
        <v>0</v>
      </c>
      <c r="N34" s="120">
        <v>0</v>
      </c>
      <c r="O34" s="120">
        <v>16</v>
      </c>
      <c r="P34" s="120">
        <v>1.02</v>
      </c>
      <c r="Q34" s="120">
        <v>17.02</v>
      </c>
      <c r="AC34" s="49"/>
    </row>
    <row r="35" spans="1:29" ht="16" x14ac:dyDescent="0.2">
      <c r="A35" s="120" t="s">
        <v>1013</v>
      </c>
      <c r="B35" s="120">
        <v>1</v>
      </c>
      <c r="C35" s="120" t="s">
        <v>1013</v>
      </c>
      <c r="D35" s="120">
        <v>17</v>
      </c>
      <c r="F35" s="49"/>
      <c r="H35" s="120" t="s">
        <v>1841</v>
      </c>
      <c r="I35" s="120" t="s">
        <v>2281</v>
      </c>
      <c r="J35" s="120" t="s">
        <v>1013</v>
      </c>
      <c r="K35" s="120">
        <v>1</v>
      </c>
      <c r="L35" s="120">
        <v>17</v>
      </c>
      <c r="M35" s="120">
        <v>0</v>
      </c>
      <c r="N35" s="120">
        <v>0</v>
      </c>
      <c r="O35" s="120">
        <v>17</v>
      </c>
      <c r="P35" s="120">
        <v>1.06</v>
      </c>
      <c r="Q35" s="120">
        <v>18.059999999999999</v>
      </c>
      <c r="AC35" s="49"/>
    </row>
    <row r="36" spans="1:29" ht="16" x14ac:dyDescent="0.2">
      <c r="A36" s="120" t="s">
        <v>505</v>
      </c>
      <c r="B36" s="120">
        <v>3</v>
      </c>
      <c r="C36" s="120" t="s">
        <v>505</v>
      </c>
      <c r="D36" s="120">
        <v>45</v>
      </c>
      <c r="F36" s="49"/>
      <c r="H36" s="120" t="s">
        <v>1112</v>
      </c>
      <c r="I36" s="120" t="s">
        <v>1937</v>
      </c>
      <c r="J36" s="120" t="s">
        <v>505</v>
      </c>
      <c r="K36" s="120">
        <v>3</v>
      </c>
      <c r="L36" s="120">
        <v>45</v>
      </c>
      <c r="M36" s="120">
        <v>0</v>
      </c>
      <c r="N36" s="120">
        <v>0</v>
      </c>
      <c r="O36" s="120">
        <v>45</v>
      </c>
      <c r="P36" s="120">
        <v>4.3899999999999997</v>
      </c>
      <c r="Q36" s="120">
        <v>49.39</v>
      </c>
      <c r="AC36" s="49"/>
    </row>
    <row r="37" spans="1:29" ht="16" x14ac:dyDescent="0.2">
      <c r="A37" s="120" t="s">
        <v>519</v>
      </c>
      <c r="B37" s="120">
        <v>1</v>
      </c>
      <c r="C37" s="120" t="s">
        <v>519</v>
      </c>
      <c r="D37" s="120">
        <v>16</v>
      </c>
      <c r="F37" s="49"/>
      <c r="H37" s="120" t="s">
        <v>1113</v>
      </c>
      <c r="I37" s="120" t="s">
        <v>2271</v>
      </c>
      <c r="J37" s="120" t="s">
        <v>519</v>
      </c>
      <c r="K37" s="120">
        <v>1</v>
      </c>
      <c r="L37" s="120">
        <v>16</v>
      </c>
      <c r="M37" s="120">
        <v>0</v>
      </c>
      <c r="N37" s="120">
        <v>0</v>
      </c>
      <c r="O37" s="120">
        <v>16</v>
      </c>
      <c r="P37" s="120">
        <v>1</v>
      </c>
      <c r="Q37" s="120">
        <v>17</v>
      </c>
      <c r="AC37" s="49"/>
    </row>
    <row r="38" spans="1:29" ht="16" x14ac:dyDescent="0.2">
      <c r="A38" s="120" t="s">
        <v>523</v>
      </c>
      <c r="B38" s="120">
        <v>1</v>
      </c>
      <c r="C38" s="120" t="s">
        <v>523</v>
      </c>
      <c r="D38" s="120">
        <v>13.6</v>
      </c>
      <c r="F38" s="49"/>
      <c r="H38" s="120" t="s">
        <v>1113</v>
      </c>
      <c r="I38" s="120" t="s">
        <v>2030</v>
      </c>
      <c r="J38" s="120" t="s">
        <v>523</v>
      </c>
      <c r="K38" s="120">
        <v>1</v>
      </c>
      <c r="L38" s="120">
        <v>16</v>
      </c>
      <c r="M38" s="120">
        <v>-2.4</v>
      </c>
      <c r="N38" s="120">
        <v>0</v>
      </c>
      <c r="O38" s="120">
        <v>13.6</v>
      </c>
      <c r="P38" s="120">
        <v>0</v>
      </c>
      <c r="Q38" s="120">
        <v>13.6</v>
      </c>
      <c r="AC38" s="49"/>
    </row>
    <row r="39" spans="1:29" ht="16" x14ac:dyDescent="0.2">
      <c r="A39" s="120" t="s">
        <v>527</v>
      </c>
      <c r="B39" s="120">
        <v>2</v>
      </c>
      <c r="C39" s="120" t="s">
        <v>527</v>
      </c>
      <c r="D39" s="120">
        <v>32</v>
      </c>
      <c r="F39" s="49"/>
      <c r="H39" s="120" t="s">
        <v>1113</v>
      </c>
      <c r="I39" s="120" t="s">
        <v>1939</v>
      </c>
      <c r="J39" s="120" t="s">
        <v>527</v>
      </c>
      <c r="K39" s="120">
        <v>2</v>
      </c>
      <c r="L39" s="120">
        <v>32</v>
      </c>
      <c r="M39" s="120">
        <v>0</v>
      </c>
      <c r="N39" s="120">
        <v>0</v>
      </c>
      <c r="O39" s="120">
        <v>32</v>
      </c>
      <c r="P39" s="120">
        <v>2.5</v>
      </c>
      <c r="Q39" s="120">
        <v>34.5</v>
      </c>
      <c r="AC39" s="49"/>
    </row>
    <row r="40" spans="1:29" ht="16" x14ac:dyDescent="0.2">
      <c r="A40" s="120" t="s">
        <v>530</v>
      </c>
      <c r="B40" s="120">
        <v>1</v>
      </c>
      <c r="C40" s="120" t="s">
        <v>530</v>
      </c>
      <c r="D40" s="120">
        <v>13.6</v>
      </c>
      <c r="F40" s="49"/>
      <c r="H40" s="120" t="s">
        <v>1113</v>
      </c>
      <c r="I40" s="120" t="s">
        <v>2084</v>
      </c>
      <c r="J40" s="120" t="s">
        <v>530</v>
      </c>
      <c r="K40" s="120">
        <v>1</v>
      </c>
      <c r="L40" s="120">
        <v>16</v>
      </c>
      <c r="M40" s="120">
        <v>-2.4</v>
      </c>
      <c r="N40" s="120">
        <v>0</v>
      </c>
      <c r="O40" s="120">
        <v>13.6</v>
      </c>
      <c r="P40" s="120">
        <v>0.98</v>
      </c>
      <c r="Q40" s="120">
        <v>14.58</v>
      </c>
      <c r="AC40" s="49"/>
    </row>
    <row r="41" spans="1:29" ht="16" x14ac:dyDescent="0.2">
      <c r="A41" s="120" t="s">
        <v>551</v>
      </c>
      <c r="B41" s="120">
        <v>4</v>
      </c>
      <c r="C41" s="120" t="s">
        <v>551</v>
      </c>
      <c r="D41" s="120">
        <v>73.150000000000006</v>
      </c>
      <c r="F41" s="49"/>
      <c r="H41" s="120" t="s">
        <v>1757</v>
      </c>
      <c r="I41" s="120" t="s">
        <v>2132</v>
      </c>
      <c r="J41" s="120" t="s">
        <v>551</v>
      </c>
      <c r="K41" s="120">
        <v>4</v>
      </c>
      <c r="L41" s="120">
        <v>76</v>
      </c>
      <c r="M41" s="120">
        <v>-2.85</v>
      </c>
      <c r="N41" s="120">
        <v>0</v>
      </c>
      <c r="O41" s="120">
        <v>73.150000000000006</v>
      </c>
      <c r="P41" s="120">
        <v>6.16</v>
      </c>
      <c r="Q41" s="120">
        <v>79.31</v>
      </c>
      <c r="AC41" s="49"/>
    </row>
    <row r="42" spans="1:29" ht="16" x14ac:dyDescent="0.2">
      <c r="A42" s="120" t="s">
        <v>616</v>
      </c>
      <c r="B42" s="120">
        <v>2</v>
      </c>
      <c r="C42" s="120" t="s">
        <v>616</v>
      </c>
      <c r="D42" s="120">
        <v>25.5</v>
      </c>
      <c r="F42" s="49"/>
      <c r="H42" s="120" t="s">
        <v>1847</v>
      </c>
      <c r="I42" s="120" t="s">
        <v>2086</v>
      </c>
      <c r="J42" s="120" t="s">
        <v>616</v>
      </c>
      <c r="K42" s="120">
        <v>2</v>
      </c>
      <c r="L42" s="120">
        <v>30</v>
      </c>
      <c r="M42" s="120">
        <v>-4.5</v>
      </c>
      <c r="N42" s="120">
        <v>0</v>
      </c>
      <c r="O42" s="120">
        <v>25.5</v>
      </c>
      <c r="P42" s="120">
        <v>1.41</v>
      </c>
      <c r="Q42" s="120">
        <v>26.91</v>
      </c>
      <c r="AC42" s="49"/>
    </row>
    <row r="43" spans="1:29" ht="16" x14ac:dyDescent="0.2">
      <c r="A43" s="120" t="s">
        <v>628</v>
      </c>
      <c r="B43" s="120">
        <v>1</v>
      </c>
      <c r="C43" s="120" t="s">
        <v>628</v>
      </c>
      <c r="D43" s="120">
        <v>16</v>
      </c>
      <c r="F43" s="49"/>
      <c r="H43" s="120" t="s">
        <v>1115</v>
      </c>
      <c r="I43" s="120" t="s">
        <v>2273</v>
      </c>
      <c r="J43" s="120" t="s">
        <v>628</v>
      </c>
      <c r="K43" s="120">
        <v>1</v>
      </c>
      <c r="L43" s="120">
        <v>16</v>
      </c>
      <c r="M43" s="120">
        <v>0</v>
      </c>
      <c r="N43" s="120">
        <v>0</v>
      </c>
      <c r="O43" s="120">
        <v>16</v>
      </c>
      <c r="P43" s="120">
        <v>0</v>
      </c>
      <c r="Q43" s="120">
        <v>16</v>
      </c>
      <c r="AC43" s="49"/>
    </row>
    <row r="44" spans="1:29" ht="16" x14ac:dyDescent="0.2">
      <c r="A44" s="120" t="s">
        <v>630</v>
      </c>
      <c r="B44" s="120">
        <v>1</v>
      </c>
      <c r="C44" s="120" t="s">
        <v>630</v>
      </c>
      <c r="D44" s="120">
        <v>13.6</v>
      </c>
      <c r="F44" s="49"/>
      <c r="H44" s="120" t="s">
        <v>1115</v>
      </c>
      <c r="I44" s="120" t="s">
        <v>2086</v>
      </c>
      <c r="J44" s="120" t="s">
        <v>630</v>
      </c>
      <c r="K44" s="120">
        <v>1</v>
      </c>
      <c r="L44" s="120">
        <v>16</v>
      </c>
      <c r="M44" s="120">
        <v>-2.4</v>
      </c>
      <c r="N44" s="120">
        <v>0</v>
      </c>
      <c r="O44" s="120">
        <v>13.6</v>
      </c>
      <c r="P44" s="120">
        <v>0.75</v>
      </c>
      <c r="Q44" s="120">
        <v>14.35</v>
      </c>
      <c r="AC44" s="49"/>
    </row>
    <row r="45" spans="1:29" ht="16" x14ac:dyDescent="0.2">
      <c r="A45" s="120" t="s">
        <v>991</v>
      </c>
      <c r="B45" s="120">
        <v>2</v>
      </c>
      <c r="C45" s="120" t="s">
        <v>991</v>
      </c>
      <c r="D45" s="120">
        <v>40</v>
      </c>
      <c r="F45" s="49"/>
      <c r="H45" s="120" t="s">
        <v>2277</v>
      </c>
      <c r="I45" s="120" t="s">
        <v>1934</v>
      </c>
      <c r="J45" s="120" t="s">
        <v>991</v>
      </c>
      <c r="K45" s="120">
        <v>2</v>
      </c>
      <c r="L45" s="120">
        <v>40</v>
      </c>
      <c r="M45" s="120">
        <v>0</v>
      </c>
      <c r="N45" s="120">
        <v>0</v>
      </c>
      <c r="O45" s="120">
        <v>40</v>
      </c>
      <c r="P45" s="120">
        <v>4.3</v>
      </c>
      <c r="Q45" s="120">
        <v>44.3</v>
      </c>
      <c r="AC45" s="49"/>
    </row>
    <row r="46" spans="1:29" ht="16" x14ac:dyDescent="0.2">
      <c r="A46" s="120" t="s">
        <v>642</v>
      </c>
      <c r="B46" s="120">
        <v>1</v>
      </c>
      <c r="C46" s="120" t="s">
        <v>642</v>
      </c>
      <c r="D46" s="120">
        <v>45</v>
      </c>
      <c r="F46" s="49"/>
      <c r="H46" s="120" t="s">
        <v>1846</v>
      </c>
      <c r="I46" s="120" t="s">
        <v>2276</v>
      </c>
      <c r="J46" s="120" t="s">
        <v>642</v>
      </c>
      <c r="K46" s="120">
        <v>1</v>
      </c>
      <c r="L46" s="120">
        <v>45</v>
      </c>
      <c r="M46" s="120">
        <v>0</v>
      </c>
      <c r="N46" s="120">
        <v>0</v>
      </c>
      <c r="O46" s="120">
        <v>45</v>
      </c>
      <c r="P46" s="120">
        <v>0</v>
      </c>
      <c r="Q46" s="120">
        <v>45</v>
      </c>
      <c r="AC46" s="49"/>
    </row>
    <row r="47" spans="1:29" ht="16" x14ac:dyDescent="0.2">
      <c r="A47" s="120" t="s">
        <v>654</v>
      </c>
      <c r="B47" s="120">
        <v>1</v>
      </c>
      <c r="C47" s="120" t="s">
        <v>654</v>
      </c>
      <c r="D47" s="120">
        <v>45</v>
      </c>
      <c r="F47" s="49"/>
      <c r="H47" s="120" t="s">
        <v>1721</v>
      </c>
      <c r="I47" s="120" t="s">
        <v>1938</v>
      </c>
      <c r="J47" s="120" t="s">
        <v>654</v>
      </c>
      <c r="K47" s="120">
        <v>1</v>
      </c>
      <c r="L47" s="120">
        <v>45</v>
      </c>
      <c r="M47" s="120">
        <v>0</v>
      </c>
      <c r="N47" s="120">
        <v>0</v>
      </c>
      <c r="O47" s="120">
        <v>45</v>
      </c>
      <c r="P47" s="120">
        <v>3.71</v>
      </c>
      <c r="Q47" s="120">
        <v>48.71</v>
      </c>
      <c r="AC47" s="49"/>
    </row>
    <row r="48" spans="1:29" ht="16" x14ac:dyDescent="0.2">
      <c r="A48" s="120" t="s">
        <v>657</v>
      </c>
      <c r="B48" s="120">
        <v>1</v>
      </c>
      <c r="C48" s="120" t="s">
        <v>657</v>
      </c>
      <c r="D48" s="120">
        <v>45</v>
      </c>
      <c r="F48" s="49"/>
      <c r="H48" s="120" t="s">
        <v>1721</v>
      </c>
      <c r="I48" s="120" t="s">
        <v>1937</v>
      </c>
      <c r="J48" s="120" t="s">
        <v>657</v>
      </c>
      <c r="K48" s="120">
        <v>1</v>
      </c>
      <c r="L48" s="120">
        <v>45</v>
      </c>
      <c r="M48" s="120">
        <v>0</v>
      </c>
      <c r="N48" s="120">
        <v>0</v>
      </c>
      <c r="O48" s="120">
        <v>45</v>
      </c>
      <c r="P48" s="120">
        <v>4.6100000000000003</v>
      </c>
      <c r="Q48" s="120">
        <v>49.61</v>
      </c>
      <c r="AC48" s="49"/>
    </row>
    <row r="49" spans="1:29" ht="16" x14ac:dyDescent="0.2">
      <c r="A49" s="120" t="s">
        <v>1782</v>
      </c>
      <c r="B49" s="120">
        <v>1</v>
      </c>
      <c r="C49" s="120" t="s">
        <v>1782</v>
      </c>
      <c r="D49" s="120">
        <v>45</v>
      </c>
      <c r="F49" s="49"/>
      <c r="H49" s="120" t="s">
        <v>1721</v>
      </c>
      <c r="I49" s="120" t="s">
        <v>2133</v>
      </c>
      <c r="J49" s="120" t="s">
        <v>1782</v>
      </c>
      <c r="K49" s="120">
        <v>1</v>
      </c>
      <c r="L49" s="120">
        <v>45</v>
      </c>
      <c r="M49" s="120">
        <v>0</v>
      </c>
      <c r="N49" s="120">
        <v>0</v>
      </c>
      <c r="O49" s="120">
        <v>45</v>
      </c>
      <c r="P49" s="120">
        <v>4.6100000000000003</v>
      </c>
      <c r="Q49" s="120">
        <v>49.61</v>
      </c>
      <c r="AC49" s="49"/>
    </row>
    <row r="50" spans="1:29" ht="16" x14ac:dyDescent="0.2">
      <c r="A50" s="120" t="s">
        <v>683</v>
      </c>
      <c r="B50" s="120">
        <v>3</v>
      </c>
      <c r="C50" s="120" t="s">
        <v>683</v>
      </c>
      <c r="D50" s="120">
        <v>108</v>
      </c>
      <c r="F50" s="49"/>
      <c r="H50" s="120" t="s">
        <v>1738</v>
      </c>
      <c r="I50" s="120" t="s">
        <v>1933</v>
      </c>
      <c r="J50" s="120" t="s">
        <v>683</v>
      </c>
      <c r="K50" s="120">
        <v>3</v>
      </c>
      <c r="L50" s="120">
        <v>108</v>
      </c>
      <c r="M50" s="120">
        <v>0</v>
      </c>
      <c r="N50" s="120">
        <v>0</v>
      </c>
      <c r="O50" s="120">
        <v>108</v>
      </c>
      <c r="P50" s="120">
        <v>4.3499999999999996</v>
      </c>
      <c r="Q50" s="120">
        <v>112.35</v>
      </c>
      <c r="AC50" s="49"/>
    </row>
    <row r="51" spans="1:29" ht="16" x14ac:dyDescent="0.2">
      <c r="A51" s="120" t="s">
        <v>692</v>
      </c>
      <c r="B51" s="120">
        <v>2</v>
      </c>
      <c r="C51" s="120" t="s">
        <v>692</v>
      </c>
      <c r="D51" s="120">
        <v>96</v>
      </c>
      <c r="F51" s="49"/>
      <c r="H51" s="120" t="s">
        <v>1848</v>
      </c>
      <c r="I51" s="120" t="s">
        <v>2272</v>
      </c>
      <c r="J51" s="120" t="s">
        <v>692</v>
      </c>
      <c r="K51" s="120">
        <v>2</v>
      </c>
      <c r="L51" s="120">
        <v>96</v>
      </c>
      <c r="M51" s="120">
        <v>0</v>
      </c>
      <c r="N51" s="120">
        <v>0</v>
      </c>
      <c r="O51" s="120">
        <v>96</v>
      </c>
      <c r="P51" s="120">
        <v>5.76</v>
      </c>
      <c r="Q51" s="120">
        <v>101.76</v>
      </c>
      <c r="AC51" s="49"/>
    </row>
    <row r="52" spans="1:29" ht="16" x14ac:dyDescent="0.2">
      <c r="A52" s="120" t="s">
        <v>694</v>
      </c>
      <c r="B52" s="120">
        <v>2</v>
      </c>
      <c r="C52" s="120" t="s">
        <v>694</v>
      </c>
      <c r="D52" s="120">
        <v>88.8</v>
      </c>
      <c r="F52" s="49"/>
      <c r="H52" s="120" t="s">
        <v>1848</v>
      </c>
      <c r="I52" s="120" t="s">
        <v>2273</v>
      </c>
      <c r="J52" s="120" t="s">
        <v>694</v>
      </c>
      <c r="K52" s="120">
        <v>2</v>
      </c>
      <c r="L52" s="120">
        <v>96</v>
      </c>
      <c r="M52" s="120">
        <v>-7.2</v>
      </c>
      <c r="N52" s="120">
        <v>0</v>
      </c>
      <c r="O52" s="120">
        <v>88.8</v>
      </c>
      <c r="P52" s="120">
        <v>4.63</v>
      </c>
      <c r="Q52" s="120">
        <v>93.43</v>
      </c>
      <c r="AC52" s="49"/>
    </row>
    <row r="53" spans="1:29" ht="16" x14ac:dyDescent="0.2">
      <c r="A53" s="120" t="s">
        <v>740</v>
      </c>
      <c r="B53" s="120">
        <v>1</v>
      </c>
      <c r="C53" s="120" t="s">
        <v>740</v>
      </c>
      <c r="D53" s="120">
        <v>34</v>
      </c>
      <c r="F53" s="49"/>
      <c r="H53" s="120" t="s">
        <v>1832</v>
      </c>
      <c r="I53" s="120" t="s">
        <v>2278</v>
      </c>
      <c r="J53" s="120" t="s">
        <v>740</v>
      </c>
      <c r="K53" s="120">
        <v>1</v>
      </c>
      <c r="L53" s="120">
        <v>34</v>
      </c>
      <c r="M53" s="120">
        <v>0</v>
      </c>
      <c r="N53" s="120">
        <v>0</v>
      </c>
      <c r="O53" s="120">
        <v>34</v>
      </c>
      <c r="P53" s="120">
        <v>0</v>
      </c>
      <c r="Q53" s="120">
        <v>34</v>
      </c>
      <c r="AC53" s="49"/>
    </row>
    <row r="54" spans="1:29" ht="16" x14ac:dyDescent="0.2">
      <c r="A54" s="120" t="s">
        <v>1788</v>
      </c>
      <c r="B54" s="120">
        <v>1</v>
      </c>
      <c r="C54" s="120" t="s">
        <v>1788</v>
      </c>
      <c r="D54" s="120">
        <v>43.2</v>
      </c>
      <c r="F54" s="49"/>
      <c r="H54" s="120" t="s">
        <v>1723</v>
      </c>
      <c r="I54" s="120" t="s">
        <v>2026</v>
      </c>
      <c r="J54" s="120" t="s">
        <v>1788</v>
      </c>
      <c r="K54" s="120">
        <v>1</v>
      </c>
      <c r="L54" s="120">
        <v>48</v>
      </c>
      <c r="M54" s="120">
        <v>-4.8</v>
      </c>
      <c r="N54" s="120">
        <v>0</v>
      </c>
      <c r="O54" s="120">
        <v>43.2</v>
      </c>
      <c r="P54" s="120">
        <v>1.84</v>
      </c>
      <c r="Q54" s="120">
        <v>45.04</v>
      </c>
      <c r="AC54" s="49"/>
    </row>
    <row r="55" spans="1:29" ht="16" x14ac:dyDescent="0.2">
      <c r="A55" s="120" t="s">
        <v>1797</v>
      </c>
      <c r="B55" s="120">
        <v>1</v>
      </c>
      <c r="C55" s="120" t="s">
        <v>1797</v>
      </c>
      <c r="D55" s="120">
        <v>42</v>
      </c>
      <c r="F55" s="49"/>
      <c r="H55" s="120" t="s">
        <v>1718</v>
      </c>
      <c r="I55" s="120" t="s">
        <v>1937</v>
      </c>
      <c r="J55" s="120" t="s">
        <v>1797</v>
      </c>
      <c r="K55" s="120">
        <v>1</v>
      </c>
      <c r="L55" s="120">
        <v>42</v>
      </c>
      <c r="M55" s="120">
        <v>0</v>
      </c>
      <c r="N55" s="120">
        <v>0</v>
      </c>
      <c r="O55" s="120">
        <v>42</v>
      </c>
      <c r="P55" s="120">
        <v>4.0999999999999996</v>
      </c>
      <c r="Q55" s="120">
        <v>46.1</v>
      </c>
      <c r="AC55" s="49"/>
    </row>
    <row r="56" spans="1:29" ht="16" x14ac:dyDescent="0.2">
      <c r="A56" s="120" t="s">
        <v>1719</v>
      </c>
      <c r="B56" s="120">
        <v>1</v>
      </c>
      <c r="C56" s="120" t="s">
        <v>1719</v>
      </c>
      <c r="D56" s="120">
        <v>42</v>
      </c>
      <c r="F56" s="49"/>
      <c r="H56" s="120" t="s">
        <v>1718</v>
      </c>
      <c r="I56" s="120" t="s">
        <v>1935</v>
      </c>
      <c r="J56" s="120" t="s">
        <v>1719</v>
      </c>
      <c r="K56" s="120">
        <v>1</v>
      </c>
      <c r="L56" s="120">
        <v>42</v>
      </c>
      <c r="M56" s="120">
        <v>0</v>
      </c>
      <c r="N56" s="120">
        <v>0</v>
      </c>
      <c r="O56" s="120">
        <v>42</v>
      </c>
      <c r="P56" s="120">
        <v>3.15</v>
      </c>
      <c r="Q56" s="120">
        <v>45.15</v>
      </c>
      <c r="AC56" s="49"/>
    </row>
    <row r="57" spans="1:29" ht="16" x14ac:dyDescent="0.2">
      <c r="A57" s="120" t="s">
        <v>757</v>
      </c>
      <c r="B57" s="120">
        <v>-2</v>
      </c>
      <c r="C57" s="120" t="s">
        <v>757</v>
      </c>
      <c r="D57" s="120">
        <v>-81.599999999999994</v>
      </c>
      <c r="F57" s="49"/>
      <c r="H57" s="120" t="s">
        <v>1726</v>
      </c>
      <c r="I57" s="120" t="s">
        <v>2030</v>
      </c>
      <c r="J57" s="120" t="s">
        <v>757</v>
      </c>
      <c r="K57" s="120">
        <v>-2</v>
      </c>
      <c r="L57" s="120">
        <v>0</v>
      </c>
      <c r="M57" s="120">
        <v>0</v>
      </c>
      <c r="N57" s="120">
        <v>-81.599999999999994</v>
      </c>
      <c r="O57" s="120">
        <v>-81.599999999999994</v>
      </c>
      <c r="P57" s="120">
        <v>0</v>
      </c>
      <c r="Q57" s="120">
        <v>-81.599999999999994</v>
      </c>
      <c r="AC57" s="49"/>
    </row>
    <row r="58" spans="1:29" ht="16" x14ac:dyDescent="0.2">
      <c r="A58" s="120" t="s">
        <v>777</v>
      </c>
      <c r="B58" s="120">
        <v>1</v>
      </c>
      <c r="C58" s="120" t="s">
        <v>777</v>
      </c>
      <c r="D58" s="120">
        <v>30</v>
      </c>
      <c r="F58" s="49"/>
      <c r="H58" s="120" t="s">
        <v>1835</v>
      </c>
      <c r="I58" s="120" t="s">
        <v>1933</v>
      </c>
      <c r="J58" s="120" t="s">
        <v>777</v>
      </c>
      <c r="K58" s="120">
        <v>1</v>
      </c>
      <c r="L58" s="120">
        <v>30</v>
      </c>
      <c r="M58" s="120">
        <v>0</v>
      </c>
      <c r="N58" s="120">
        <v>0</v>
      </c>
      <c r="O58" s="120">
        <v>30</v>
      </c>
      <c r="P58" s="120">
        <v>3.08</v>
      </c>
      <c r="Q58" s="120">
        <v>33.08</v>
      </c>
      <c r="AC58" s="49"/>
    </row>
    <row r="59" spans="1:29" ht="16" x14ac:dyDescent="0.2">
      <c r="A59" s="120" t="s">
        <v>790</v>
      </c>
      <c r="B59" s="120">
        <v>1</v>
      </c>
      <c r="C59" s="120" t="s">
        <v>790</v>
      </c>
      <c r="D59" s="120">
        <v>28</v>
      </c>
      <c r="F59" s="49"/>
      <c r="H59" s="120" t="s">
        <v>1751</v>
      </c>
      <c r="I59" s="120" t="s">
        <v>2083</v>
      </c>
      <c r="J59" s="120" t="s">
        <v>790</v>
      </c>
      <c r="K59" s="120">
        <v>1</v>
      </c>
      <c r="L59" s="120">
        <v>28</v>
      </c>
      <c r="M59" s="120">
        <v>0</v>
      </c>
      <c r="N59" s="120">
        <v>0</v>
      </c>
      <c r="O59" s="120">
        <v>28</v>
      </c>
      <c r="P59" s="120">
        <v>1.96</v>
      </c>
      <c r="Q59" s="120">
        <v>29.96</v>
      </c>
      <c r="AC59" s="49"/>
    </row>
    <row r="60" spans="1:29" ht="16" x14ac:dyDescent="0.2">
      <c r="A60" s="120" t="s">
        <v>795</v>
      </c>
      <c r="B60" s="120">
        <v>1</v>
      </c>
      <c r="C60" s="120" t="s">
        <v>795</v>
      </c>
      <c r="D60" s="120">
        <v>32</v>
      </c>
      <c r="F60" s="49"/>
      <c r="H60" s="120" t="s">
        <v>1728</v>
      </c>
      <c r="I60" s="120" t="s">
        <v>1933</v>
      </c>
      <c r="J60" s="120" t="s">
        <v>795</v>
      </c>
      <c r="K60" s="120">
        <v>1</v>
      </c>
      <c r="L60" s="120">
        <v>32</v>
      </c>
      <c r="M60" s="120">
        <v>0</v>
      </c>
      <c r="N60" s="120">
        <v>0</v>
      </c>
      <c r="O60" s="120">
        <v>32</v>
      </c>
      <c r="P60" s="120">
        <v>1.28</v>
      </c>
      <c r="Q60" s="120">
        <v>33.28</v>
      </c>
      <c r="AC60" s="49"/>
    </row>
    <row r="61" spans="1:29" ht="16" x14ac:dyDescent="0.2">
      <c r="A61" s="120" t="s">
        <v>824</v>
      </c>
      <c r="B61" s="120">
        <v>2</v>
      </c>
      <c r="C61" s="120" t="s">
        <v>824</v>
      </c>
      <c r="D61" s="120">
        <v>34</v>
      </c>
      <c r="F61" s="49"/>
      <c r="H61" s="120" t="s">
        <v>1761</v>
      </c>
      <c r="I61" s="120" t="s">
        <v>1933</v>
      </c>
      <c r="J61" s="120" t="s">
        <v>824</v>
      </c>
      <c r="K61" s="120">
        <v>2</v>
      </c>
      <c r="L61" s="120">
        <v>34</v>
      </c>
      <c r="M61" s="120">
        <v>0</v>
      </c>
      <c r="N61" s="120">
        <v>0</v>
      </c>
      <c r="O61" s="120">
        <v>34</v>
      </c>
      <c r="P61" s="120">
        <v>1.87</v>
      </c>
      <c r="Q61" s="120">
        <v>35.869999999999997</v>
      </c>
      <c r="AC61" s="49"/>
    </row>
    <row r="62" spans="1:29" ht="16" x14ac:dyDescent="0.2">
      <c r="A62" s="120" t="s">
        <v>828</v>
      </c>
      <c r="B62" s="120">
        <v>5</v>
      </c>
      <c r="C62" s="120" t="s">
        <v>828</v>
      </c>
      <c r="D62" s="120">
        <v>85</v>
      </c>
      <c r="F62" s="49"/>
      <c r="H62" s="120" t="s">
        <v>1761</v>
      </c>
      <c r="I62" s="120" t="s">
        <v>1934</v>
      </c>
      <c r="J62" s="120" t="s">
        <v>828</v>
      </c>
      <c r="K62" s="120">
        <v>5</v>
      </c>
      <c r="L62" s="120">
        <v>85</v>
      </c>
      <c r="M62" s="120">
        <v>0</v>
      </c>
      <c r="N62" s="120">
        <v>0</v>
      </c>
      <c r="O62" s="120">
        <v>85</v>
      </c>
      <c r="P62" s="120">
        <v>0</v>
      </c>
      <c r="Q62" s="120">
        <v>85</v>
      </c>
      <c r="AC62" s="49"/>
    </row>
    <row r="63" spans="1:29" ht="16" x14ac:dyDescent="0.2">
      <c r="A63" s="120" t="s">
        <v>832</v>
      </c>
      <c r="B63" s="120">
        <v>1</v>
      </c>
      <c r="C63" s="120" t="s">
        <v>832</v>
      </c>
      <c r="D63" s="120">
        <v>25</v>
      </c>
      <c r="F63" s="49"/>
      <c r="H63" s="120" t="s">
        <v>2134</v>
      </c>
      <c r="I63" s="120" t="s">
        <v>1936</v>
      </c>
      <c r="J63" s="120" t="s">
        <v>832</v>
      </c>
      <c r="K63" s="120">
        <v>1</v>
      </c>
      <c r="L63" s="120">
        <v>25</v>
      </c>
      <c r="M63" s="120">
        <v>0</v>
      </c>
      <c r="N63" s="120">
        <v>0</v>
      </c>
      <c r="O63" s="120">
        <v>25</v>
      </c>
      <c r="P63" s="120">
        <v>0</v>
      </c>
      <c r="Q63" s="120">
        <v>25</v>
      </c>
      <c r="AC63" s="49"/>
    </row>
    <row r="64" spans="1:29" ht="16" x14ac:dyDescent="0.2">
      <c r="A64" s="120" t="s">
        <v>846</v>
      </c>
      <c r="B64" s="120">
        <v>2</v>
      </c>
      <c r="C64" s="120" t="s">
        <v>846</v>
      </c>
      <c r="D64" s="120">
        <v>40</v>
      </c>
      <c r="F64" s="49"/>
      <c r="H64" s="120" t="s">
        <v>860</v>
      </c>
      <c r="I64" s="120" t="s">
        <v>1934</v>
      </c>
      <c r="J64" s="120" t="s">
        <v>846</v>
      </c>
      <c r="K64" s="120">
        <v>2</v>
      </c>
      <c r="L64" s="120">
        <v>40</v>
      </c>
      <c r="M64" s="120">
        <v>0</v>
      </c>
      <c r="N64" s="120">
        <v>0</v>
      </c>
      <c r="O64" s="120">
        <v>40</v>
      </c>
      <c r="P64" s="120">
        <v>2.46</v>
      </c>
      <c r="Q64" s="120">
        <v>42.46</v>
      </c>
      <c r="AC64" s="49"/>
    </row>
    <row r="65" spans="1:29" ht="16" x14ac:dyDescent="0.2">
      <c r="A65" s="120" t="s">
        <v>850</v>
      </c>
      <c r="B65" s="120">
        <v>2</v>
      </c>
      <c r="C65" s="120" t="s">
        <v>850</v>
      </c>
      <c r="D65" s="120">
        <v>30.6</v>
      </c>
      <c r="F65" s="49"/>
      <c r="H65" s="120" t="s">
        <v>1116</v>
      </c>
      <c r="I65" s="120" t="s">
        <v>1936</v>
      </c>
      <c r="J65" s="120" t="s">
        <v>850</v>
      </c>
      <c r="K65" s="120">
        <v>2</v>
      </c>
      <c r="L65" s="120">
        <v>36</v>
      </c>
      <c r="M65" s="120">
        <v>-5.4</v>
      </c>
      <c r="N65" s="120">
        <v>0</v>
      </c>
      <c r="O65" s="120">
        <v>30.6</v>
      </c>
      <c r="P65" s="120">
        <v>1.84</v>
      </c>
      <c r="Q65" s="120">
        <v>32.44</v>
      </c>
      <c r="AC65" s="49"/>
    </row>
    <row r="66" spans="1:29" ht="16" x14ac:dyDescent="0.2">
      <c r="A66" s="120" t="s">
        <v>866</v>
      </c>
      <c r="B66" s="120">
        <v>1</v>
      </c>
      <c r="C66" s="120" t="s">
        <v>866</v>
      </c>
      <c r="D66" s="120">
        <v>20</v>
      </c>
      <c r="F66" s="49"/>
      <c r="H66" s="120" t="s">
        <v>1722</v>
      </c>
      <c r="I66" s="120" t="s">
        <v>1934</v>
      </c>
      <c r="J66" s="120" t="s">
        <v>866</v>
      </c>
      <c r="K66" s="120">
        <v>1</v>
      </c>
      <c r="L66" s="120">
        <v>20</v>
      </c>
      <c r="M66" s="120">
        <v>0</v>
      </c>
      <c r="N66" s="120">
        <v>0</v>
      </c>
      <c r="O66" s="120">
        <v>20</v>
      </c>
      <c r="P66" s="120">
        <v>1.68</v>
      </c>
      <c r="Q66" s="120">
        <v>21.68</v>
      </c>
      <c r="AC66" s="49"/>
    </row>
    <row r="67" spans="1:29" ht="16" x14ac:dyDescent="0.2">
      <c r="A67" s="120" t="s">
        <v>869</v>
      </c>
      <c r="B67" s="120">
        <v>2</v>
      </c>
      <c r="C67" s="120" t="s">
        <v>869</v>
      </c>
      <c r="D67" s="120">
        <v>37</v>
      </c>
      <c r="F67" s="49"/>
      <c r="H67" s="120" t="s">
        <v>1722</v>
      </c>
      <c r="I67" s="120" t="s">
        <v>1937</v>
      </c>
      <c r="J67" s="120" t="s">
        <v>869</v>
      </c>
      <c r="K67" s="120">
        <v>2</v>
      </c>
      <c r="L67" s="120">
        <v>40</v>
      </c>
      <c r="M67" s="120">
        <v>-3</v>
      </c>
      <c r="N67" s="120">
        <v>0</v>
      </c>
      <c r="O67" s="120">
        <v>37</v>
      </c>
      <c r="P67" s="120">
        <v>2.79</v>
      </c>
      <c r="Q67" s="120">
        <v>39.79</v>
      </c>
      <c r="AC67" s="49"/>
    </row>
    <row r="68" spans="1:29" ht="16" x14ac:dyDescent="0.2">
      <c r="A68" s="120" t="s">
        <v>875</v>
      </c>
      <c r="B68" s="120">
        <v>1</v>
      </c>
      <c r="C68" s="120" t="s">
        <v>875</v>
      </c>
      <c r="D68" s="120">
        <v>20</v>
      </c>
      <c r="F68" s="49"/>
      <c r="H68" s="120" t="s">
        <v>1722</v>
      </c>
      <c r="I68" s="120" t="s">
        <v>2083</v>
      </c>
      <c r="J68" s="120" t="s">
        <v>875</v>
      </c>
      <c r="K68" s="120">
        <v>1</v>
      </c>
      <c r="L68" s="120">
        <v>20</v>
      </c>
      <c r="M68" s="120">
        <v>0</v>
      </c>
      <c r="N68" s="120">
        <v>0</v>
      </c>
      <c r="O68" s="120">
        <v>20</v>
      </c>
      <c r="P68" s="120">
        <v>1.85</v>
      </c>
      <c r="Q68" s="120">
        <v>21.85</v>
      </c>
      <c r="AC68" s="49"/>
    </row>
    <row r="69" spans="1:29" ht="16" x14ac:dyDescent="0.2">
      <c r="A69" s="120" t="s">
        <v>879</v>
      </c>
      <c r="B69" s="120">
        <v>2</v>
      </c>
      <c r="C69" s="120" t="s">
        <v>879</v>
      </c>
      <c r="D69" s="120">
        <v>40</v>
      </c>
      <c r="F69" s="49"/>
      <c r="H69" s="120" t="s">
        <v>1722</v>
      </c>
      <c r="I69" s="120" t="s">
        <v>2087</v>
      </c>
      <c r="J69" s="120" t="s">
        <v>879</v>
      </c>
      <c r="K69" s="120">
        <v>2</v>
      </c>
      <c r="L69" s="120">
        <v>40</v>
      </c>
      <c r="M69" s="120">
        <v>0</v>
      </c>
      <c r="N69" s="120">
        <v>0</v>
      </c>
      <c r="O69" s="120">
        <v>40</v>
      </c>
      <c r="P69" s="120">
        <v>3.18</v>
      </c>
      <c r="Q69" s="120">
        <v>43.18</v>
      </c>
      <c r="AC69" s="49"/>
    </row>
    <row r="70" spans="1:29" ht="16" x14ac:dyDescent="0.2">
      <c r="A70" s="120" t="s">
        <v>882</v>
      </c>
      <c r="B70" s="120">
        <v>4</v>
      </c>
      <c r="C70" s="120" t="s">
        <v>882</v>
      </c>
      <c r="D70" s="120">
        <v>78</v>
      </c>
      <c r="F70" s="49"/>
      <c r="H70" s="120" t="s">
        <v>1722</v>
      </c>
      <c r="I70" s="120" t="s">
        <v>1941</v>
      </c>
      <c r="J70" s="120" t="s">
        <v>882</v>
      </c>
      <c r="K70" s="120">
        <v>4</v>
      </c>
      <c r="L70" s="120">
        <v>80</v>
      </c>
      <c r="M70" s="120">
        <v>-2</v>
      </c>
      <c r="N70" s="120">
        <v>0</v>
      </c>
      <c r="O70" s="120">
        <v>78</v>
      </c>
      <c r="P70" s="120">
        <v>4.53</v>
      </c>
      <c r="Q70" s="120">
        <v>82.53</v>
      </c>
      <c r="AC70" s="49"/>
    </row>
    <row r="71" spans="1:29" ht="16" x14ac:dyDescent="0.2">
      <c r="A71" s="120" t="s">
        <v>884</v>
      </c>
      <c r="B71" s="120">
        <v>1</v>
      </c>
      <c r="C71" s="120" t="s">
        <v>884</v>
      </c>
      <c r="D71" s="120">
        <v>20</v>
      </c>
      <c r="F71" s="49"/>
      <c r="H71" s="120" t="s">
        <v>1722</v>
      </c>
      <c r="I71" s="120" t="s">
        <v>2031</v>
      </c>
      <c r="J71" s="120" t="s">
        <v>884</v>
      </c>
      <c r="K71" s="120">
        <v>1</v>
      </c>
      <c r="L71" s="120">
        <v>20</v>
      </c>
      <c r="M71" s="120">
        <v>0</v>
      </c>
      <c r="N71" s="120">
        <v>0</v>
      </c>
      <c r="O71" s="120">
        <v>20</v>
      </c>
      <c r="P71" s="120">
        <v>0</v>
      </c>
      <c r="Q71" s="120">
        <v>20</v>
      </c>
      <c r="AC71" s="49"/>
    </row>
    <row r="72" spans="1:29" ht="16" x14ac:dyDescent="0.2">
      <c r="A72" s="120" t="s">
        <v>893</v>
      </c>
      <c r="B72" s="120">
        <v>1</v>
      </c>
      <c r="C72" s="120" t="s">
        <v>893</v>
      </c>
      <c r="D72" s="120">
        <v>20</v>
      </c>
      <c r="F72" s="49"/>
      <c r="H72" s="120" t="s">
        <v>1731</v>
      </c>
      <c r="I72" s="120" t="s">
        <v>2275</v>
      </c>
      <c r="J72" s="120" t="s">
        <v>893</v>
      </c>
      <c r="K72" s="120">
        <v>1</v>
      </c>
      <c r="L72" s="120">
        <v>20</v>
      </c>
      <c r="M72" s="120">
        <v>0</v>
      </c>
      <c r="N72" s="120">
        <v>0</v>
      </c>
      <c r="O72" s="120">
        <v>20</v>
      </c>
      <c r="P72" s="120">
        <v>1.24</v>
      </c>
      <c r="Q72" s="120">
        <v>21.24</v>
      </c>
      <c r="AC72" s="49"/>
    </row>
    <row r="73" spans="1:29" ht="16" x14ac:dyDescent="0.2">
      <c r="A73" s="120" t="s">
        <v>905</v>
      </c>
      <c r="B73" s="120">
        <v>3</v>
      </c>
      <c r="C73" s="120" t="s">
        <v>905</v>
      </c>
      <c r="D73" s="120">
        <v>66</v>
      </c>
      <c r="F73" s="49"/>
      <c r="H73" s="120" t="s">
        <v>1665</v>
      </c>
      <c r="I73" s="120" t="s">
        <v>2135</v>
      </c>
      <c r="J73" s="120" t="s">
        <v>905</v>
      </c>
      <c r="K73" s="120">
        <v>3</v>
      </c>
      <c r="L73" s="120">
        <v>66</v>
      </c>
      <c r="M73" s="120">
        <v>0</v>
      </c>
      <c r="N73" s="120">
        <v>0</v>
      </c>
      <c r="O73" s="120">
        <v>66</v>
      </c>
      <c r="P73" s="120">
        <v>3.96</v>
      </c>
      <c r="Q73" s="120">
        <v>69.959999999999994</v>
      </c>
      <c r="AC73" s="49"/>
    </row>
    <row r="74" spans="1:29" ht="16" x14ac:dyDescent="0.2">
      <c r="A74" s="120" t="s">
        <v>907</v>
      </c>
      <c r="B74" s="120">
        <v>3</v>
      </c>
      <c r="C74" s="120" t="s">
        <v>907</v>
      </c>
      <c r="D74" s="120">
        <v>45.9</v>
      </c>
      <c r="F74" s="49"/>
      <c r="H74" s="120" t="s">
        <v>1727</v>
      </c>
      <c r="I74" s="120" t="s">
        <v>1934</v>
      </c>
      <c r="J74" s="120" t="s">
        <v>907</v>
      </c>
      <c r="K74" s="120">
        <v>3</v>
      </c>
      <c r="L74" s="120">
        <v>54</v>
      </c>
      <c r="M74" s="120">
        <v>-8.1</v>
      </c>
      <c r="N74" s="120">
        <v>0</v>
      </c>
      <c r="O74" s="120">
        <v>45.9</v>
      </c>
      <c r="P74" s="120">
        <v>3.95</v>
      </c>
      <c r="Q74" s="120">
        <v>49.85</v>
      </c>
      <c r="AC74" s="49"/>
    </row>
    <row r="75" spans="1:29" ht="16" x14ac:dyDescent="0.2">
      <c r="A75" s="120" t="s">
        <v>910</v>
      </c>
      <c r="B75" s="120">
        <v>1</v>
      </c>
      <c r="C75" s="120" t="s">
        <v>910</v>
      </c>
      <c r="D75" s="120">
        <v>18</v>
      </c>
      <c r="F75" s="49"/>
      <c r="H75" s="120" t="s">
        <v>1727</v>
      </c>
      <c r="I75" s="120" t="s">
        <v>1937</v>
      </c>
      <c r="J75" s="120" t="s">
        <v>910</v>
      </c>
      <c r="K75" s="120">
        <v>1</v>
      </c>
      <c r="L75" s="120">
        <v>18</v>
      </c>
      <c r="M75" s="120">
        <v>0</v>
      </c>
      <c r="N75" s="120">
        <v>0</v>
      </c>
      <c r="O75" s="120">
        <v>18</v>
      </c>
      <c r="P75" s="120">
        <v>1.08</v>
      </c>
      <c r="Q75" s="120">
        <v>19.079999999999998</v>
      </c>
      <c r="AC75" s="49"/>
    </row>
    <row r="76" spans="1:29" ht="16" x14ac:dyDescent="0.2">
      <c r="A76" s="120" t="s">
        <v>914</v>
      </c>
      <c r="B76" s="120">
        <v>3</v>
      </c>
      <c r="C76" s="120" t="s">
        <v>914</v>
      </c>
      <c r="D76" s="120">
        <v>54</v>
      </c>
      <c r="F76" s="49"/>
      <c r="H76" s="120" t="s">
        <v>1727</v>
      </c>
      <c r="I76" s="120" t="s">
        <v>2085</v>
      </c>
      <c r="J76" s="120" t="s">
        <v>914</v>
      </c>
      <c r="K76" s="120">
        <v>3</v>
      </c>
      <c r="L76" s="120">
        <v>54</v>
      </c>
      <c r="M76" s="120">
        <v>0</v>
      </c>
      <c r="N76" s="120">
        <v>0</v>
      </c>
      <c r="O76" s="120">
        <v>54</v>
      </c>
      <c r="P76" s="120">
        <v>1.49</v>
      </c>
      <c r="Q76" s="120">
        <v>55.49</v>
      </c>
      <c r="AC76" s="49"/>
    </row>
    <row r="77" spans="1:29" ht="16" x14ac:dyDescent="0.2">
      <c r="A77" s="120" t="s">
        <v>918</v>
      </c>
      <c r="B77" s="120">
        <v>0</v>
      </c>
      <c r="C77" s="120" t="s">
        <v>918</v>
      </c>
      <c r="D77" s="120">
        <v>0</v>
      </c>
      <c r="F77" s="49"/>
      <c r="H77" s="120" t="s">
        <v>1727</v>
      </c>
      <c r="I77" s="120" t="s">
        <v>2087</v>
      </c>
      <c r="J77" s="120" t="s">
        <v>918</v>
      </c>
      <c r="K77" s="120">
        <v>0</v>
      </c>
      <c r="L77" s="120">
        <v>36</v>
      </c>
      <c r="M77" s="120">
        <v>0</v>
      </c>
      <c r="N77" s="120">
        <v>-36</v>
      </c>
      <c r="O77" s="120">
        <v>0</v>
      </c>
      <c r="P77" s="120">
        <v>0</v>
      </c>
      <c r="Q77" s="120">
        <v>0</v>
      </c>
      <c r="AC77" s="49"/>
    </row>
    <row r="78" spans="1:29" ht="16" x14ac:dyDescent="0.2">
      <c r="A78" s="120" t="s">
        <v>941</v>
      </c>
      <c r="B78" s="120">
        <v>2</v>
      </c>
      <c r="C78" s="120" t="s">
        <v>941</v>
      </c>
      <c r="D78" s="120">
        <v>59.2</v>
      </c>
      <c r="F78" s="49"/>
      <c r="H78" s="120" t="s">
        <v>1749</v>
      </c>
      <c r="I78" s="120" t="s">
        <v>1938</v>
      </c>
      <c r="J78" s="120" t="s">
        <v>941</v>
      </c>
      <c r="K78" s="120">
        <v>2</v>
      </c>
      <c r="L78" s="120">
        <v>64</v>
      </c>
      <c r="M78" s="120">
        <v>-4.8</v>
      </c>
      <c r="N78" s="120">
        <v>0</v>
      </c>
      <c r="O78" s="120">
        <v>59.2</v>
      </c>
      <c r="P78" s="120">
        <v>2.79</v>
      </c>
      <c r="Q78" s="120">
        <v>61.99</v>
      </c>
      <c r="AC78" s="49"/>
    </row>
    <row r="79" spans="1:29" ht="16" x14ac:dyDescent="0.2">
      <c r="A79" s="120" t="s">
        <v>946</v>
      </c>
      <c r="B79" s="120">
        <v>1</v>
      </c>
      <c r="C79" s="120" t="s">
        <v>946</v>
      </c>
      <c r="D79" s="120">
        <v>30</v>
      </c>
      <c r="F79" s="49"/>
      <c r="H79" s="120" t="s">
        <v>1760</v>
      </c>
      <c r="I79" s="120" t="s">
        <v>1933</v>
      </c>
      <c r="J79" s="120" t="s">
        <v>946</v>
      </c>
      <c r="K79" s="120">
        <v>1</v>
      </c>
      <c r="L79" s="120">
        <v>30</v>
      </c>
      <c r="M79" s="120">
        <v>0</v>
      </c>
      <c r="N79" s="120">
        <v>0</v>
      </c>
      <c r="O79" s="120">
        <v>30</v>
      </c>
      <c r="P79" s="120">
        <v>2.93</v>
      </c>
      <c r="Q79" s="120">
        <v>32.93</v>
      </c>
      <c r="AC79" s="49"/>
    </row>
    <row r="80" spans="1:29" ht="16" x14ac:dyDescent="0.2">
      <c r="A80" s="120" t="s">
        <v>953</v>
      </c>
      <c r="B80" s="120">
        <v>6</v>
      </c>
      <c r="C80" s="120" t="s">
        <v>953</v>
      </c>
      <c r="D80" s="120">
        <v>204</v>
      </c>
      <c r="F80" s="49"/>
      <c r="H80" s="120" t="s">
        <v>1739</v>
      </c>
      <c r="I80" s="120" t="s">
        <v>1938</v>
      </c>
      <c r="J80" s="120" t="s">
        <v>953</v>
      </c>
      <c r="K80" s="120">
        <v>6</v>
      </c>
      <c r="L80" s="120">
        <v>204</v>
      </c>
      <c r="M80" s="120">
        <v>0</v>
      </c>
      <c r="N80" s="120">
        <v>0</v>
      </c>
      <c r="O80" s="120">
        <v>204</v>
      </c>
      <c r="P80" s="120">
        <v>6.72</v>
      </c>
      <c r="Q80" s="120">
        <v>210.72</v>
      </c>
      <c r="AC80" s="49"/>
    </row>
    <row r="81" spans="6:29" x14ac:dyDescent="0.2">
      <c r="F81" s="49"/>
      <c r="AC81" s="49"/>
    </row>
    <row r="82" spans="6:29" x14ac:dyDescent="0.2">
      <c r="F82" s="49"/>
      <c r="AC82" s="49"/>
    </row>
    <row r="83" spans="6:29" x14ac:dyDescent="0.2">
      <c r="F83" s="49"/>
      <c r="AC83" s="49"/>
    </row>
    <row r="84" spans="6:29" x14ac:dyDescent="0.2">
      <c r="F84" s="49"/>
      <c r="AC84" s="49"/>
    </row>
    <row r="85" spans="6:29" x14ac:dyDescent="0.2">
      <c r="F85" s="49"/>
      <c r="AC85" s="49"/>
    </row>
    <row r="86" spans="6:29" x14ac:dyDescent="0.2">
      <c r="F86" s="49"/>
      <c r="AC86" s="49"/>
    </row>
    <row r="87" spans="6:29" x14ac:dyDescent="0.2">
      <c r="F87" s="49"/>
      <c r="AC87" s="49"/>
    </row>
    <row r="88" spans="6:29" x14ac:dyDescent="0.2">
      <c r="F88" s="49"/>
      <c r="AC88" s="49"/>
    </row>
    <row r="89" spans="6:29" x14ac:dyDescent="0.2">
      <c r="F89" s="49"/>
      <c r="AC89" s="49"/>
    </row>
    <row r="90" spans="6:29" x14ac:dyDescent="0.2">
      <c r="F90" s="49"/>
      <c r="AC90" s="49"/>
    </row>
    <row r="91" spans="6:29" x14ac:dyDescent="0.2">
      <c r="F91" s="49"/>
      <c r="AC91" s="49"/>
    </row>
    <row r="92" spans="6:29" x14ac:dyDescent="0.2">
      <c r="F92" s="49"/>
      <c r="AC92" s="49"/>
    </row>
    <row r="93" spans="6:29" x14ac:dyDescent="0.2">
      <c r="F93" s="49"/>
      <c r="AC93" s="49"/>
    </row>
    <row r="94" spans="6:29" x14ac:dyDescent="0.2">
      <c r="F94" s="49"/>
      <c r="AC94" s="49"/>
    </row>
    <row r="95" spans="6:29" x14ac:dyDescent="0.2">
      <c r="F95" s="49"/>
      <c r="AC95" s="49"/>
    </row>
    <row r="96" spans="6:29" x14ac:dyDescent="0.2">
      <c r="F96" s="49"/>
      <c r="AC96" s="49"/>
    </row>
    <row r="97" spans="6:31" x14ac:dyDescent="0.2">
      <c r="F97" s="49"/>
      <c r="AC97" s="49"/>
    </row>
    <row r="98" spans="6:31" x14ac:dyDescent="0.2">
      <c r="F98" s="49"/>
      <c r="AC98" s="49"/>
    </row>
    <row r="99" spans="6:31" x14ac:dyDescent="0.2">
      <c r="F99" s="49"/>
      <c r="AC99" s="49"/>
    </row>
    <row r="100" spans="6:31" x14ac:dyDescent="0.2">
      <c r="F100" s="49"/>
      <c r="AC100" s="49"/>
    </row>
    <row r="101" spans="6:31" x14ac:dyDescent="0.2">
      <c r="F101" s="49"/>
      <c r="AC101" s="49"/>
    </row>
    <row r="102" spans="6:31" x14ac:dyDescent="0.2">
      <c r="F102" s="49"/>
      <c r="AC102" s="49"/>
    </row>
    <row r="103" spans="6:31" x14ac:dyDescent="0.2">
      <c r="F103" s="49"/>
      <c r="AC103" s="49"/>
    </row>
    <row r="104" spans="6:31" x14ac:dyDescent="0.2">
      <c r="F104" s="49"/>
      <c r="AC104" s="49"/>
    </row>
    <row r="105" spans="6:31" x14ac:dyDescent="0.2">
      <c r="F105" s="49"/>
      <c r="AC105" s="49"/>
    </row>
    <row r="106" spans="6:31" x14ac:dyDescent="0.2">
      <c r="F106" s="49"/>
      <c r="AC106" s="49"/>
    </row>
    <row r="107" spans="6:31" x14ac:dyDescent="0.2">
      <c r="F107" s="49"/>
      <c r="AC107" s="49"/>
      <c r="AE107" t="s">
        <v>2007</v>
      </c>
    </row>
    <row r="108" spans="6:31" x14ac:dyDescent="0.2">
      <c r="F108" s="49"/>
      <c r="AC108" s="49"/>
    </row>
    <row r="109" spans="6:31" x14ac:dyDescent="0.2">
      <c r="F109" s="49"/>
      <c r="AC109" s="49"/>
    </row>
    <row r="110" spans="6:31" x14ac:dyDescent="0.2">
      <c r="F110" s="49"/>
      <c r="AC110" s="49"/>
    </row>
    <row r="111" spans="6:31" x14ac:dyDescent="0.2">
      <c r="F111" s="49"/>
      <c r="AC111" s="49"/>
    </row>
    <row r="112" spans="6:31" x14ac:dyDescent="0.2">
      <c r="F112" s="49"/>
      <c r="AC112" s="49"/>
    </row>
    <row r="113" spans="6:29" x14ac:dyDescent="0.2">
      <c r="F113" s="49"/>
      <c r="AC113" s="49"/>
    </row>
    <row r="114" spans="6:29" x14ac:dyDescent="0.2">
      <c r="F114" s="49"/>
      <c r="AC114" s="49"/>
    </row>
    <row r="115" spans="6:29" x14ac:dyDescent="0.2">
      <c r="F115" s="49"/>
      <c r="AC115" s="49"/>
    </row>
    <row r="116" spans="6:29" x14ac:dyDescent="0.2">
      <c r="F116" s="49"/>
      <c r="AC116" s="49"/>
    </row>
    <row r="117" spans="6:29" x14ac:dyDescent="0.2">
      <c r="F117" s="49"/>
      <c r="AC117" s="49"/>
    </row>
    <row r="118" spans="6:29" x14ac:dyDescent="0.2">
      <c r="F118" s="49"/>
      <c r="AC118" s="49"/>
    </row>
    <row r="119" spans="6:29" x14ac:dyDescent="0.2">
      <c r="F119" s="49"/>
      <c r="AC119" s="49"/>
    </row>
    <row r="120" spans="6:29" x14ac:dyDescent="0.2">
      <c r="F120" s="49"/>
      <c r="AC120" s="49"/>
    </row>
    <row r="121" spans="6:29" x14ac:dyDescent="0.2">
      <c r="F121" s="49"/>
      <c r="AC121" s="49"/>
    </row>
    <row r="122" spans="6:29" x14ac:dyDescent="0.2">
      <c r="F122" s="49"/>
      <c r="AC122" s="49"/>
    </row>
    <row r="123" spans="6:29" x14ac:dyDescent="0.2">
      <c r="F123" s="49"/>
      <c r="AC123" s="49"/>
    </row>
    <row r="124" spans="6:29" x14ac:dyDescent="0.2">
      <c r="F124" s="49"/>
      <c r="AC124" s="49"/>
    </row>
    <row r="125" spans="6:29" x14ac:dyDescent="0.2">
      <c r="F125" s="49"/>
      <c r="AC125" s="49"/>
    </row>
    <row r="126" spans="6:29" x14ac:dyDescent="0.2">
      <c r="F126" s="49"/>
      <c r="AC126" s="49"/>
    </row>
    <row r="127" spans="6:29" x14ac:dyDescent="0.2">
      <c r="F127" s="49"/>
      <c r="AC127" s="49"/>
    </row>
    <row r="128" spans="6:29" x14ac:dyDescent="0.2">
      <c r="F128" s="49"/>
      <c r="AC128" s="49"/>
    </row>
    <row r="129" spans="6:29" x14ac:dyDescent="0.2">
      <c r="F129" s="49"/>
      <c r="AC129" s="49"/>
    </row>
    <row r="130" spans="6:29" x14ac:dyDescent="0.2">
      <c r="F130" s="49"/>
      <c r="AC130" s="49"/>
    </row>
    <row r="131" spans="6:29" x14ac:dyDescent="0.2">
      <c r="F131" s="49"/>
      <c r="AC131" s="49"/>
    </row>
    <row r="132" spans="6:29" x14ac:dyDescent="0.2">
      <c r="F132" s="51"/>
      <c r="AC132" s="51"/>
    </row>
    <row r="133" spans="6:29" x14ac:dyDescent="0.2">
      <c r="F133" s="51"/>
      <c r="AC133" s="51"/>
    </row>
    <row r="134" spans="6:29" x14ac:dyDescent="0.2">
      <c r="F134" s="51"/>
      <c r="AC134" s="51"/>
    </row>
    <row r="135" spans="6:29" x14ac:dyDescent="0.2">
      <c r="F135" s="51"/>
      <c r="AC135" s="51"/>
    </row>
    <row r="136" spans="6:29" x14ac:dyDescent="0.2">
      <c r="F136" s="51"/>
      <c r="AC136" s="51"/>
    </row>
    <row r="137" spans="6:29" x14ac:dyDescent="0.2">
      <c r="F137" s="51"/>
      <c r="AC137" s="51"/>
    </row>
    <row r="138" spans="6:29" x14ac:dyDescent="0.2">
      <c r="F138" s="51"/>
      <c r="AC138" s="51"/>
    </row>
    <row r="139" spans="6:29" x14ac:dyDescent="0.2">
      <c r="F139" s="49"/>
      <c r="AC139" s="49"/>
    </row>
    <row r="140" spans="6:29" x14ac:dyDescent="0.2">
      <c r="F140" s="49"/>
      <c r="AC140" s="49"/>
    </row>
    <row r="141" spans="6:29" x14ac:dyDescent="0.2">
      <c r="F141" s="49"/>
      <c r="AC141" s="49"/>
    </row>
    <row r="142" spans="6:29" x14ac:dyDescent="0.2">
      <c r="F142" s="49"/>
      <c r="AC142" s="49"/>
    </row>
    <row r="143" spans="6:29" x14ac:dyDescent="0.2">
      <c r="F143" s="49"/>
      <c r="AC143" s="49"/>
    </row>
    <row r="144" spans="6:29" x14ac:dyDescent="0.2">
      <c r="F144" s="49"/>
      <c r="AC144" s="49"/>
    </row>
    <row r="145" spans="6:29" x14ac:dyDescent="0.2">
      <c r="F145" s="49"/>
      <c r="AC145" s="49"/>
    </row>
    <row r="146" spans="6:29" x14ac:dyDescent="0.2">
      <c r="F146" s="49"/>
      <c r="AC146" s="49"/>
    </row>
    <row r="147" spans="6:29" x14ac:dyDescent="0.2">
      <c r="F147" s="49"/>
      <c r="AC147" s="49"/>
    </row>
    <row r="148" spans="6:29" x14ac:dyDescent="0.2">
      <c r="F148" s="49"/>
      <c r="AC148" s="49"/>
    </row>
    <row r="149" spans="6:29" x14ac:dyDescent="0.2">
      <c r="F149" s="49"/>
      <c r="AC149" s="49"/>
    </row>
    <row r="150" spans="6:29" x14ac:dyDescent="0.2">
      <c r="F150" s="49"/>
      <c r="AC150" s="49"/>
    </row>
    <row r="151" spans="6:29" x14ac:dyDescent="0.2">
      <c r="F151" s="49"/>
      <c r="AC151" s="49"/>
    </row>
    <row r="152" spans="6:29" x14ac:dyDescent="0.2">
      <c r="F152" s="49"/>
      <c r="AC152" s="49"/>
    </row>
    <row r="153" spans="6:29" x14ac:dyDescent="0.2">
      <c r="F153" s="49"/>
      <c r="AC153" s="49"/>
    </row>
    <row r="154" spans="6:29" x14ac:dyDescent="0.2">
      <c r="F154" s="49"/>
      <c r="AC154" s="49"/>
    </row>
    <row r="155" spans="6:29" x14ac:dyDescent="0.2">
      <c r="F155" s="49"/>
      <c r="AC155" s="49"/>
    </row>
    <row r="156" spans="6:29" x14ac:dyDescent="0.2">
      <c r="F156" s="49"/>
      <c r="AC156" s="49"/>
    </row>
    <row r="157" spans="6:29" x14ac:dyDescent="0.2">
      <c r="F157" s="49"/>
      <c r="AC157" s="49"/>
    </row>
    <row r="158" spans="6:29" x14ac:dyDescent="0.2">
      <c r="F158" s="49"/>
      <c r="AC158" s="49"/>
    </row>
    <row r="159" spans="6:29" x14ac:dyDescent="0.2">
      <c r="F159" s="49"/>
      <c r="AC159" s="49"/>
    </row>
    <row r="160" spans="6:29" x14ac:dyDescent="0.2">
      <c r="F160" s="49"/>
      <c r="AC160" s="49"/>
    </row>
    <row r="161" spans="6:29" x14ac:dyDescent="0.2">
      <c r="F161" s="49"/>
      <c r="AC161" s="49"/>
    </row>
    <row r="162" spans="6:29" x14ac:dyDescent="0.2">
      <c r="F162" s="49"/>
      <c r="AC162" s="49"/>
    </row>
    <row r="163" spans="6:29" x14ac:dyDescent="0.2">
      <c r="F163" s="49"/>
      <c r="AC163" s="49"/>
    </row>
    <row r="164" spans="6:29" x14ac:dyDescent="0.2">
      <c r="F164" s="49"/>
      <c r="AC164" s="49"/>
    </row>
    <row r="165" spans="6:29" x14ac:dyDescent="0.2">
      <c r="F165" s="49"/>
      <c r="AC165" s="49"/>
    </row>
    <row r="166" spans="6:29" x14ac:dyDescent="0.2">
      <c r="F166" s="49"/>
      <c r="AC166" s="49"/>
    </row>
    <row r="167" spans="6:29" x14ac:dyDescent="0.2">
      <c r="F167" s="49"/>
      <c r="AC167" s="49"/>
    </row>
    <row r="168" spans="6:29" x14ac:dyDescent="0.2">
      <c r="F168" s="49"/>
      <c r="AC168" s="49"/>
    </row>
    <row r="169" spans="6:29" x14ac:dyDescent="0.2">
      <c r="F169" s="49"/>
      <c r="AC169" s="49"/>
    </row>
    <row r="170" spans="6:29" x14ac:dyDescent="0.2">
      <c r="F170" s="49"/>
      <c r="AC170" s="49"/>
    </row>
    <row r="171" spans="6:29" x14ac:dyDescent="0.2">
      <c r="F171" s="49"/>
      <c r="AC171" s="49"/>
    </row>
    <row r="172" spans="6:29" x14ac:dyDescent="0.2">
      <c r="F172" s="49"/>
      <c r="AC172" s="49"/>
    </row>
    <row r="173" spans="6:29" x14ac:dyDescent="0.2">
      <c r="F173" s="49"/>
      <c r="AC173" s="49"/>
    </row>
    <row r="174" spans="6:29" x14ac:dyDescent="0.2">
      <c r="F174" s="49"/>
      <c r="AC174" s="49"/>
    </row>
    <row r="175" spans="6:29" x14ac:dyDescent="0.2">
      <c r="F175" s="49"/>
      <c r="AC175" s="49"/>
    </row>
    <row r="176" spans="6:29" x14ac:dyDescent="0.2">
      <c r="F176" s="49"/>
      <c r="AC176" s="49"/>
    </row>
    <row r="177" spans="6:29" x14ac:dyDescent="0.2">
      <c r="F177" s="49"/>
      <c r="AC177" s="49"/>
    </row>
    <row r="178" spans="6:29" x14ac:dyDescent="0.2">
      <c r="F178" s="49"/>
      <c r="AC178" s="49"/>
    </row>
    <row r="179" spans="6:29" x14ac:dyDescent="0.2">
      <c r="F179" s="49"/>
      <c r="AC179" s="49"/>
    </row>
    <row r="180" spans="6:29" x14ac:dyDescent="0.2">
      <c r="F180" s="49"/>
      <c r="AC180" s="49"/>
    </row>
    <row r="181" spans="6:29" x14ac:dyDescent="0.2">
      <c r="F181" s="49"/>
      <c r="AC181" s="49"/>
    </row>
    <row r="182" spans="6:29" x14ac:dyDescent="0.2">
      <c r="F182" s="49"/>
      <c r="AC182" s="49"/>
    </row>
    <row r="183" spans="6:29" x14ac:dyDescent="0.2">
      <c r="F183" s="49"/>
      <c r="AC183" s="49"/>
    </row>
    <row r="184" spans="6:29" x14ac:dyDescent="0.2">
      <c r="F184" s="49"/>
      <c r="AC184" s="49"/>
    </row>
    <row r="185" spans="6:29" x14ac:dyDescent="0.2">
      <c r="F185" s="49"/>
      <c r="AC185" s="49"/>
    </row>
    <row r="186" spans="6:29" x14ac:dyDescent="0.2">
      <c r="F186" s="49"/>
      <c r="AC186" s="49"/>
    </row>
    <row r="187" spans="6:29" x14ac:dyDescent="0.2">
      <c r="F187" s="49"/>
      <c r="AC187" s="49"/>
    </row>
    <row r="188" spans="6:29" x14ac:dyDescent="0.2">
      <c r="F188" s="49"/>
      <c r="AC188" s="49"/>
    </row>
    <row r="189" spans="6:29" x14ac:dyDescent="0.2">
      <c r="F189" s="49"/>
      <c r="AC189" s="49"/>
    </row>
    <row r="190" spans="6:29" x14ac:dyDescent="0.2">
      <c r="F190" s="49"/>
      <c r="AC190" s="49"/>
    </row>
    <row r="191" spans="6:29" x14ac:dyDescent="0.2">
      <c r="F191" s="49"/>
      <c r="AC191" s="49"/>
    </row>
    <row r="192" spans="6:29" x14ac:dyDescent="0.2">
      <c r="F192" s="49"/>
      <c r="AC192" s="49"/>
    </row>
    <row r="193" spans="6:29" x14ac:dyDescent="0.2">
      <c r="F193" s="49"/>
      <c r="AC193" s="49"/>
    </row>
    <row r="194" spans="6:29" x14ac:dyDescent="0.2">
      <c r="F194" s="49"/>
      <c r="AC194" s="49"/>
    </row>
    <row r="195" spans="6:29" x14ac:dyDescent="0.2">
      <c r="F195" s="49"/>
      <c r="AC195" s="49"/>
    </row>
    <row r="196" spans="6:29" x14ac:dyDescent="0.2">
      <c r="F196" s="49"/>
      <c r="AC196" s="49"/>
    </row>
    <row r="197" spans="6:29" x14ac:dyDescent="0.2">
      <c r="F197" s="49"/>
      <c r="AC197" s="49"/>
    </row>
    <row r="198" spans="6:29" x14ac:dyDescent="0.2">
      <c r="F198" s="49"/>
      <c r="AC198" s="49"/>
    </row>
    <row r="199" spans="6:29" x14ac:dyDescent="0.2">
      <c r="F199" s="49"/>
      <c r="AC199" s="49"/>
    </row>
    <row r="200" spans="6:29" x14ac:dyDescent="0.2">
      <c r="F200" s="49"/>
      <c r="AC200" s="49"/>
    </row>
    <row r="201" spans="6:29" x14ac:dyDescent="0.2">
      <c r="F201" s="49"/>
      <c r="AC201" s="49"/>
    </row>
    <row r="202" spans="6:29" x14ac:dyDescent="0.2">
      <c r="F202" s="49"/>
      <c r="AC202" s="49"/>
    </row>
    <row r="203" spans="6:29" x14ac:dyDescent="0.2">
      <c r="F203" s="49"/>
      <c r="AC203" s="49"/>
    </row>
    <row r="204" spans="6:29" x14ac:dyDescent="0.2">
      <c r="F204" s="49"/>
      <c r="AC204" s="49"/>
    </row>
    <row r="205" spans="6:29" x14ac:dyDescent="0.2">
      <c r="F205" s="49"/>
      <c r="AC205" s="49"/>
    </row>
    <row r="206" spans="6:29" x14ac:dyDescent="0.2">
      <c r="F206" s="49"/>
      <c r="AC206" s="49"/>
    </row>
    <row r="207" spans="6:29" x14ac:dyDescent="0.2">
      <c r="F207" s="49"/>
      <c r="AC207" s="49"/>
    </row>
    <row r="208" spans="6:29" x14ac:dyDescent="0.2">
      <c r="F208" s="49"/>
      <c r="AC208" s="49"/>
    </row>
    <row r="209" spans="6:29" x14ac:dyDescent="0.2">
      <c r="F209" s="49"/>
      <c r="AC209" s="49"/>
    </row>
    <row r="210" spans="6:29" x14ac:dyDescent="0.2">
      <c r="F210" s="49"/>
      <c r="AC210" s="49"/>
    </row>
    <row r="211" spans="6:29" x14ac:dyDescent="0.2">
      <c r="F211" s="49"/>
      <c r="AC211" s="49"/>
    </row>
    <row r="212" spans="6:29" x14ac:dyDescent="0.2">
      <c r="F212" s="49"/>
      <c r="AC212" s="49"/>
    </row>
    <row r="213" spans="6:29" x14ac:dyDescent="0.2">
      <c r="F213" s="49"/>
      <c r="AC213" s="49"/>
    </row>
    <row r="214" spans="6:29" x14ac:dyDescent="0.2">
      <c r="F214" s="49"/>
      <c r="AC214" s="49"/>
    </row>
    <row r="215" spans="6:29" x14ac:dyDescent="0.2">
      <c r="F215" s="49"/>
      <c r="AC215" s="49"/>
    </row>
    <row r="216" spans="6:29" x14ac:dyDescent="0.2">
      <c r="F216" s="49"/>
      <c r="AC216" s="49"/>
    </row>
    <row r="217" spans="6:29" x14ac:dyDescent="0.2">
      <c r="F217" s="49"/>
      <c r="AC217" s="49"/>
    </row>
    <row r="218" spans="6:29" x14ac:dyDescent="0.2">
      <c r="F218" s="49"/>
      <c r="AC218" s="49"/>
    </row>
    <row r="219" spans="6:29" x14ac:dyDescent="0.2">
      <c r="F219" s="49"/>
      <c r="AC219" s="49"/>
    </row>
    <row r="220" spans="6:29" x14ac:dyDescent="0.2">
      <c r="F220" s="49"/>
      <c r="AC220" s="49"/>
    </row>
    <row r="221" spans="6:29" x14ac:dyDescent="0.2">
      <c r="F221" s="49"/>
      <c r="AC221" s="49"/>
    </row>
    <row r="222" spans="6:29" x14ac:dyDescent="0.2">
      <c r="F222" s="49"/>
      <c r="AC222" s="49"/>
    </row>
    <row r="223" spans="6:29" x14ac:dyDescent="0.2">
      <c r="F223" s="49"/>
      <c r="AC223" s="49"/>
    </row>
    <row r="224" spans="6:29" x14ac:dyDescent="0.2">
      <c r="F224" s="49"/>
      <c r="AC224" s="49"/>
    </row>
    <row r="225" spans="6:29" x14ac:dyDescent="0.2">
      <c r="F225" s="49"/>
      <c r="AC225" s="49"/>
    </row>
    <row r="226" spans="6:29" x14ac:dyDescent="0.2">
      <c r="F226" s="49"/>
      <c r="AC226" s="49"/>
    </row>
    <row r="227" spans="6:29" x14ac:dyDescent="0.2">
      <c r="F227" s="49"/>
      <c r="AC227" s="49"/>
    </row>
    <row r="228" spans="6:29" x14ac:dyDescent="0.2">
      <c r="F228" s="49"/>
      <c r="AC228" s="49"/>
    </row>
    <row r="229" spans="6:29" x14ac:dyDescent="0.2">
      <c r="F229" s="49"/>
      <c r="AC229" s="49"/>
    </row>
    <row r="230" spans="6:29" x14ac:dyDescent="0.2">
      <c r="F230" s="49"/>
      <c r="AC230" s="49"/>
    </row>
    <row r="231" spans="6:29" x14ac:dyDescent="0.2">
      <c r="F231" s="49"/>
      <c r="AC231" s="49"/>
    </row>
    <row r="232" spans="6:29" x14ac:dyDescent="0.2">
      <c r="F232" s="49"/>
      <c r="AC232" s="49"/>
    </row>
    <row r="233" spans="6:29" x14ac:dyDescent="0.2">
      <c r="F233" s="49"/>
      <c r="AC233" s="49"/>
    </row>
    <row r="234" spans="6:29" x14ac:dyDescent="0.2">
      <c r="F234" s="49"/>
      <c r="AC234" s="49"/>
    </row>
    <row r="235" spans="6:29" x14ac:dyDescent="0.2">
      <c r="F235" s="49"/>
      <c r="AC235" s="49"/>
    </row>
    <row r="236" spans="6:29" x14ac:dyDescent="0.2">
      <c r="F236" s="49"/>
      <c r="AC236" s="49"/>
    </row>
    <row r="237" spans="6:29" x14ac:dyDescent="0.2">
      <c r="F237" s="49"/>
      <c r="AC237" s="49"/>
    </row>
    <row r="238" spans="6:29" x14ac:dyDescent="0.2">
      <c r="F238" s="49"/>
      <c r="AC238" s="49"/>
    </row>
    <row r="239" spans="6:29" x14ac:dyDescent="0.2">
      <c r="F239" s="49"/>
      <c r="AC239" s="49"/>
    </row>
    <row r="240" spans="6:29" x14ac:dyDescent="0.2">
      <c r="F240" s="49"/>
      <c r="AC240" s="49"/>
    </row>
    <row r="241" spans="6:29" x14ac:dyDescent="0.2">
      <c r="F241" s="49"/>
      <c r="AC241" s="49"/>
    </row>
    <row r="242" spans="6:29" x14ac:dyDescent="0.2">
      <c r="F242" s="49"/>
      <c r="AC242" s="49"/>
    </row>
    <row r="243" spans="6:29" x14ac:dyDescent="0.2">
      <c r="F243" s="49"/>
      <c r="AC243" s="49"/>
    </row>
    <row r="244" spans="6:29" x14ac:dyDescent="0.2">
      <c r="F244" s="49"/>
      <c r="AC244" s="49"/>
    </row>
    <row r="245" spans="6:29" x14ac:dyDescent="0.2">
      <c r="F245" s="49"/>
      <c r="AC245" s="49"/>
    </row>
    <row r="246" spans="6:29" x14ac:dyDescent="0.2">
      <c r="F246" s="49"/>
      <c r="AC246" s="49"/>
    </row>
    <row r="247" spans="6:29" x14ac:dyDescent="0.2">
      <c r="F247" s="49"/>
      <c r="AC247" s="49"/>
    </row>
    <row r="248" spans="6:29" x14ac:dyDescent="0.2">
      <c r="F248" s="49"/>
      <c r="AC248" s="49"/>
    </row>
    <row r="249" spans="6:29" x14ac:dyDescent="0.2">
      <c r="F249" s="49"/>
      <c r="AC249" s="49"/>
    </row>
    <row r="250" spans="6:29" x14ac:dyDescent="0.2">
      <c r="F250" s="49"/>
      <c r="AC250" s="49"/>
    </row>
    <row r="251" spans="6:29" x14ac:dyDescent="0.2">
      <c r="F251" s="49"/>
      <c r="AC251" s="49"/>
    </row>
    <row r="252" spans="6:29" x14ac:dyDescent="0.2">
      <c r="F252" s="49"/>
      <c r="AC252" s="49"/>
    </row>
    <row r="253" spans="6:29" x14ac:dyDescent="0.2">
      <c r="F253" s="49"/>
      <c r="AC253" s="49"/>
    </row>
    <row r="254" spans="6:29" x14ac:dyDescent="0.2">
      <c r="F254" s="49"/>
      <c r="AC254" s="49"/>
    </row>
    <row r="255" spans="6:29" x14ac:dyDescent="0.2">
      <c r="F255" s="49"/>
      <c r="AC255" s="49"/>
    </row>
    <row r="256" spans="6:29" x14ac:dyDescent="0.2">
      <c r="F256" s="49"/>
      <c r="AC256" s="49"/>
    </row>
    <row r="257" spans="6:29" x14ac:dyDescent="0.2">
      <c r="F257" s="49"/>
      <c r="AC257" s="49"/>
    </row>
    <row r="258" spans="6:29" x14ac:dyDescent="0.2">
      <c r="F258" s="49"/>
      <c r="AC258" s="49"/>
    </row>
    <row r="259" spans="6:29" x14ac:dyDescent="0.2">
      <c r="F259" s="49"/>
      <c r="AC259" s="49"/>
    </row>
    <row r="260" spans="6:29" x14ac:dyDescent="0.2">
      <c r="F260" s="49"/>
      <c r="AC260" s="49"/>
    </row>
    <row r="261" spans="6:29" x14ac:dyDescent="0.2">
      <c r="F261" s="49"/>
      <c r="AC261" s="49"/>
    </row>
    <row r="262" spans="6:29" x14ac:dyDescent="0.2">
      <c r="F262" s="49"/>
      <c r="AC262" s="49"/>
    </row>
    <row r="263" spans="6:29" x14ac:dyDescent="0.2">
      <c r="F263" s="49"/>
      <c r="AC263" s="49"/>
    </row>
    <row r="264" spans="6:29" x14ac:dyDescent="0.2">
      <c r="F264" s="49"/>
      <c r="AC264" s="49"/>
    </row>
    <row r="265" spans="6:29" x14ac:dyDescent="0.2">
      <c r="F265" s="49"/>
      <c r="AC265" s="49"/>
    </row>
    <row r="266" spans="6:29" x14ac:dyDescent="0.2">
      <c r="F266" s="49"/>
      <c r="AC266" s="49"/>
    </row>
    <row r="267" spans="6:29" x14ac:dyDescent="0.2">
      <c r="F267" s="49"/>
      <c r="AC267" s="49"/>
    </row>
    <row r="268" spans="6:29" x14ac:dyDescent="0.2">
      <c r="F268" s="49"/>
      <c r="AC268" s="49"/>
    </row>
    <row r="269" spans="6:29" x14ac:dyDescent="0.2">
      <c r="F269" s="49"/>
      <c r="AC269" s="49"/>
    </row>
    <row r="270" spans="6:29" x14ac:dyDescent="0.2">
      <c r="F270" s="49"/>
      <c r="AC270" s="49"/>
    </row>
    <row r="271" spans="6:29" x14ac:dyDescent="0.2">
      <c r="F271" s="49"/>
      <c r="AC271" s="49"/>
    </row>
    <row r="272" spans="6:29" x14ac:dyDescent="0.2">
      <c r="F272" s="49"/>
      <c r="AC272" s="49"/>
    </row>
    <row r="273" spans="6:29" x14ac:dyDescent="0.2">
      <c r="F273" s="49"/>
      <c r="AC273" s="49"/>
    </row>
    <row r="274" spans="6:29" x14ac:dyDescent="0.2">
      <c r="F274" s="49"/>
      <c r="AC274" s="49"/>
    </row>
    <row r="275" spans="6:29" x14ac:dyDescent="0.2">
      <c r="F275" s="49"/>
      <c r="AC275" s="49"/>
    </row>
    <row r="276" spans="6:29" x14ac:dyDescent="0.2">
      <c r="F276" s="49"/>
      <c r="AC276" s="49"/>
    </row>
    <row r="277" spans="6:29" x14ac:dyDescent="0.2">
      <c r="F277" s="49"/>
      <c r="AC277" s="49"/>
    </row>
    <row r="278" spans="6:29" x14ac:dyDescent="0.2">
      <c r="F278" s="49"/>
      <c r="AC278" s="49"/>
    </row>
    <row r="279" spans="6:29" x14ac:dyDescent="0.2">
      <c r="F279" s="49"/>
      <c r="AC279" s="49"/>
    </row>
    <row r="280" spans="6:29" x14ac:dyDescent="0.2">
      <c r="F280" s="49"/>
      <c r="AC280" s="49"/>
    </row>
    <row r="281" spans="6:29" x14ac:dyDescent="0.2">
      <c r="F281" s="49"/>
      <c r="AC281" s="49"/>
    </row>
    <row r="282" spans="6:29" x14ac:dyDescent="0.2">
      <c r="F282" s="49"/>
      <c r="AC282" s="49"/>
    </row>
    <row r="283" spans="6:29" x14ac:dyDescent="0.2">
      <c r="F283" s="49"/>
      <c r="AC283" s="49"/>
    </row>
    <row r="284" spans="6:29" x14ac:dyDescent="0.2">
      <c r="F284" s="49"/>
      <c r="AC284" s="49"/>
    </row>
    <row r="285" spans="6:29" x14ac:dyDescent="0.2">
      <c r="F285" s="49"/>
      <c r="AC285" s="49"/>
    </row>
    <row r="286" spans="6:29" x14ac:dyDescent="0.2">
      <c r="F286" s="49"/>
      <c r="AC286" s="49"/>
    </row>
    <row r="287" spans="6:29" x14ac:dyDescent="0.2">
      <c r="F287" s="49"/>
      <c r="AC287" s="49"/>
    </row>
    <row r="288" spans="6:29" x14ac:dyDescent="0.2">
      <c r="F288" s="49"/>
      <c r="AC288" s="49"/>
    </row>
    <row r="289" spans="6:29" x14ac:dyDescent="0.2">
      <c r="F289" s="49"/>
      <c r="AC289" s="49"/>
    </row>
    <row r="290" spans="6:29" x14ac:dyDescent="0.2">
      <c r="F290" s="49"/>
      <c r="AC290" s="49"/>
    </row>
    <row r="291" spans="6:29" x14ac:dyDescent="0.2">
      <c r="F291" s="49"/>
      <c r="AC291" s="49"/>
    </row>
    <row r="292" spans="6:29" x14ac:dyDescent="0.2">
      <c r="F292" s="49"/>
      <c r="AC292" s="49"/>
    </row>
    <row r="293" spans="6:29" x14ac:dyDescent="0.2">
      <c r="F293" s="49"/>
      <c r="AC293" s="49"/>
    </row>
    <row r="294" spans="6:29" x14ac:dyDescent="0.2">
      <c r="F294" s="49"/>
      <c r="AC294" s="49"/>
    </row>
    <row r="295" spans="6:29" x14ac:dyDescent="0.2">
      <c r="F295" s="49"/>
      <c r="AC295" s="49"/>
    </row>
    <row r="296" spans="6:29" x14ac:dyDescent="0.2">
      <c r="F296" s="49"/>
      <c r="AC296" s="49"/>
    </row>
    <row r="297" spans="6:29" x14ac:dyDescent="0.2">
      <c r="F297" s="49"/>
      <c r="AC297" s="49"/>
    </row>
    <row r="298" spans="6:29" x14ac:dyDescent="0.2">
      <c r="F298" s="49"/>
      <c r="AC298" s="49"/>
    </row>
    <row r="299" spans="6:29" x14ac:dyDescent="0.2">
      <c r="F299" s="49"/>
      <c r="AC299" s="49"/>
    </row>
    <row r="300" spans="6:29" x14ac:dyDescent="0.2">
      <c r="F300" s="49"/>
      <c r="AC300" s="49"/>
    </row>
    <row r="301" spans="6:29" x14ac:dyDescent="0.2">
      <c r="F301" s="49"/>
      <c r="AC301" s="49"/>
    </row>
    <row r="302" spans="6:29" x14ac:dyDescent="0.2">
      <c r="F302" s="49"/>
      <c r="AC302" s="49"/>
    </row>
    <row r="303" spans="6:29" x14ac:dyDescent="0.2">
      <c r="F303" s="49"/>
      <c r="AC303" s="49"/>
    </row>
    <row r="304" spans="6:29" x14ac:dyDescent="0.2">
      <c r="F304" s="49"/>
      <c r="AC304" s="49"/>
    </row>
    <row r="305" spans="6:29" x14ac:dyDescent="0.2">
      <c r="F305" s="49"/>
      <c r="AC305" s="49"/>
    </row>
    <row r="306" spans="6:29" x14ac:dyDescent="0.2">
      <c r="F306" s="49"/>
      <c r="AC306" s="49"/>
    </row>
    <row r="307" spans="6:29" x14ac:dyDescent="0.2">
      <c r="F307" s="49"/>
      <c r="AC307" s="49"/>
    </row>
    <row r="308" spans="6:29" x14ac:dyDescent="0.2">
      <c r="F308" s="49"/>
      <c r="AC308" s="49"/>
    </row>
    <row r="309" spans="6:29" x14ac:dyDescent="0.2">
      <c r="F309" s="49"/>
      <c r="AC309" s="49"/>
    </row>
    <row r="310" spans="6:29" x14ac:dyDescent="0.2">
      <c r="F310" s="49"/>
      <c r="AC310" s="49"/>
    </row>
    <row r="311" spans="6:29" x14ac:dyDescent="0.2">
      <c r="F311" s="49"/>
      <c r="AC311" s="49"/>
    </row>
    <row r="312" spans="6:29" x14ac:dyDescent="0.2">
      <c r="F312" s="49"/>
      <c r="AC312" s="49"/>
    </row>
    <row r="313" spans="6:29" x14ac:dyDescent="0.2">
      <c r="F313" s="49"/>
      <c r="AC313" s="49"/>
    </row>
    <row r="314" spans="6:29" x14ac:dyDescent="0.2">
      <c r="F314" s="49"/>
      <c r="AC314" s="49"/>
    </row>
    <row r="315" spans="6:29" x14ac:dyDescent="0.2">
      <c r="F315" s="49"/>
      <c r="AC315" s="49"/>
    </row>
    <row r="316" spans="6:29" x14ac:dyDescent="0.2">
      <c r="F316" s="49"/>
      <c r="AC316" s="49"/>
    </row>
    <row r="317" spans="6:29" x14ac:dyDescent="0.2">
      <c r="F317" s="49"/>
      <c r="AC317" s="49"/>
    </row>
    <row r="318" spans="6:29" x14ac:dyDescent="0.2">
      <c r="F318" s="49"/>
      <c r="AC318" s="49"/>
    </row>
    <row r="319" spans="6:29" x14ac:dyDescent="0.2">
      <c r="F319" s="49"/>
      <c r="AC319" s="49"/>
    </row>
    <row r="320" spans="6:29" x14ac:dyDescent="0.2">
      <c r="F320" s="49"/>
      <c r="AC320" s="49"/>
    </row>
    <row r="321" spans="6:29" x14ac:dyDescent="0.2">
      <c r="F321" s="49"/>
      <c r="AC321" s="49"/>
    </row>
    <row r="322" spans="6:29" x14ac:dyDescent="0.2">
      <c r="F322" s="49"/>
      <c r="AC322" s="49"/>
    </row>
    <row r="323" spans="6:29" x14ac:dyDescent="0.2">
      <c r="F323" s="49"/>
      <c r="AC323" s="49"/>
    </row>
    <row r="324" spans="6:29" x14ac:dyDescent="0.2">
      <c r="F324" s="49"/>
      <c r="AC324" s="49"/>
    </row>
    <row r="325" spans="6:29" x14ac:dyDescent="0.2">
      <c r="F325" s="49"/>
      <c r="AC325" s="49"/>
    </row>
    <row r="326" spans="6:29" x14ac:dyDescent="0.2">
      <c r="F326" s="49"/>
      <c r="AC326" s="49"/>
    </row>
    <row r="327" spans="6:29" x14ac:dyDescent="0.2">
      <c r="F327" s="49"/>
      <c r="AC327" s="49"/>
    </row>
    <row r="328" spans="6:29" x14ac:dyDescent="0.2">
      <c r="F328" s="49"/>
      <c r="AC328" s="49"/>
    </row>
    <row r="329" spans="6:29" x14ac:dyDescent="0.2">
      <c r="F329" s="49"/>
      <c r="AC329" s="49"/>
    </row>
    <row r="330" spans="6:29" x14ac:dyDescent="0.2">
      <c r="F330" s="49"/>
      <c r="AC330" s="49"/>
    </row>
    <row r="331" spans="6:29" x14ac:dyDescent="0.2">
      <c r="F331" s="49"/>
      <c r="AC331" s="49"/>
    </row>
    <row r="332" spans="6:29" x14ac:dyDescent="0.2">
      <c r="F332" s="49"/>
      <c r="AC332" s="49"/>
    </row>
    <row r="333" spans="6:29" x14ac:dyDescent="0.2">
      <c r="F333" s="49"/>
      <c r="AC333" s="49"/>
    </row>
    <row r="334" spans="6:29" x14ac:dyDescent="0.2">
      <c r="F334" s="49"/>
      <c r="AC334" s="49"/>
    </row>
    <row r="335" spans="6:29" x14ac:dyDescent="0.2">
      <c r="F335" s="49"/>
      <c r="AC335" s="49"/>
    </row>
    <row r="336" spans="6:29" x14ac:dyDescent="0.2">
      <c r="F336" s="49"/>
      <c r="AC336" s="49"/>
    </row>
    <row r="337" spans="6:29" x14ac:dyDescent="0.2">
      <c r="F337" s="49"/>
      <c r="AC337" s="49"/>
    </row>
    <row r="338" spans="6:29" x14ac:dyDescent="0.2">
      <c r="F338" s="49"/>
      <c r="AC338" s="49"/>
    </row>
    <row r="339" spans="6:29" x14ac:dyDescent="0.2">
      <c r="F339" s="49"/>
      <c r="AC339" s="49"/>
    </row>
    <row r="340" spans="6:29" x14ac:dyDescent="0.2">
      <c r="F340" s="49"/>
      <c r="AC340" s="49"/>
    </row>
    <row r="341" spans="6:29" x14ac:dyDescent="0.2">
      <c r="F341" s="49"/>
      <c r="AC341" s="49"/>
    </row>
    <row r="342" spans="6:29" x14ac:dyDescent="0.2">
      <c r="F342" s="49"/>
      <c r="AC342" s="49"/>
    </row>
    <row r="343" spans="6:29" x14ac:dyDescent="0.2">
      <c r="F343" s="49"/>
      <c r="AC343" s="49"/>
    </row>
    <row r="344" spans="6:29" x14ac:dyDescent="0.2">
      <c r="F344" s="49"/>
      <c r="AC344" s="49"/>
    </row>
    <row r="345" spans="6:29" x14ac:dyDescent="0.2">
      <c r="F345" s="49"/>
      <c r="AC345" s="49"/>
    </row>
    <row r="346" spans="6:29" x14ac:dyDescent="0.2">
      <c r="F346" s="49"/>
      <c r="AC346" s="49"/>
    </row>
    <row r="347" spans="6:29" x14ac:dyDescent="0.2">
      <c r="F347" s="49"/>
      <c r="AC347" s="49"/>
    </row>
    <row r="348" spans="6:29" x14ac:dyDescent="0.2">
      <c r="F348" s="49"/>
      <c r="AC348" s="49"/>
    </row>
    <row r="349" spans="6:29" x14ac:dyDescent="0.2">
      <c r="F349" s="49"/>
      <c r="AC349" s="49"/>
    </row>
    <row r="350" spans="6:29" x14ac:dyDescent="0.2">
      <c r="F350" s="49"/>
      <c r="AC350" s="49"/>
    </row>
    <row r="351" spans="6:29" x14ac:dyDescent="0.2">
      <c r="F351" s="49"/>
      <c r="AC351" s="49"/>
    </row>
    <row r="352" spans="6:29" x14ac:dyDescent="0.2">
      <c r="F352" s="49"/>
      <c r="AC352" s="49"/>
    </row>
    <row r="353" spans="6:29" x14ac:dyDescent="0.2">
      <c r="F353" s="49"/>
      <c r="AC353" s="49"/>
    </row>
    <row r="354" spans="6:29" x14ac:dyDescent="0.2">
      <c r="F354" s="49"/>
      <c r="AC354" s="49"/>
    </row>
    <row r="355" spans="6:29" x14ac:dyDescent="0.2">
      <c r="F355" s="49"/>
      <c r="AC355" s="49"/>
    </row>
    <row r="356" spans="6:29" x14ac:dyDescent="0.2">
      <c r="F356" s="49"/>
      <c r="AC356" s="49"/>
    </row>
    <row r="357" spans="6:29" x14ac:dyDescent="0.2">
      <c r="F357" s="49"/>
      <c r="AC357" s="49"/>
    </row>
    <row r="358" spans="6:29" x14ac:dyDescent="0.2">
      <c r="F358" s="49"/>
      <c r="AC358" s="49"/>
    </row>
    <row r="359" spans="6:29" x14ac:dyDescent="0.2">
      <c r="F359" s="49"/>
      <c r="AC359" s="49"/>
    </row>
    <row r="360" spans="6:29" x14ac:dyDescent="0.2">
      <c r="F360" s="49"/>
      <c r="AC360" s="49"/>
    </row>
    <row r="361" spans="6:29" x14ac:dyDescent="0.2">
      <c r="F361" s="49"/>
      <c r="AC361" s="49"/>
    </row>
    <row r="362" spans="6:29" x14ac:dyDescent="0.2">
      <c r="F362" s="49"/>
      <c r="AC362" s="49"/>
    </row>
    <row r="363" spans="6:29" x14ac:dyDescent="0.2">
      <c r="F363" s="49"/>
      <c r="AC363" s="49"/>
    </row>
    <row r="364" spans="6:29" x14ac:dyDescent="0.2">
      <c r="F364" s="49"/>
      <c r="AC364" s="49"/>
    </row>
    <row r="365" spans="6:29" x14ac:dyDescent="0.2">
      <c r="F365" s="49"/>
      <c r="AC365" s="49"/>
    </row>
    <row r="366" spans="6:29" x14ac:dyDescent="0.2">
      <c r="F366" s="49"/>
      <c r="AC366" s="49"/>
    </row>
    <row r="367" spans="6:29" x14ac:dyDescent="0.2">
      <c r="F367" s="49"/>
      <c r="AC367" s="49"/>
    </row>
    <row r="368" spans="6:29" x14ac:dyDescent="0.2">
      <c r="F368" s="49"/>
      <c r="AC368" s="49"/>
    </row>
    <row r="369" spans="6:29" x14ac:dyDescent="0.2">
      <c r="F369" s="49"/>
      <c r="AC369" s="49"/>
    </row>
    <row r="370" spans="6:29" x14ac:dyDescent="0.2">
      <c r="F370" s="49"/>
      <c r="AC370" s="49"/>
    </row>
    <row r="371" spans="6:29" x14ac:dyDescent="0.2">
      <c r="F371" s="49"/>
      <c r="AC371" s="49"/>
    </row>
    <row r="372" spans="6:29" x14ac:dyDescent="0.2">
      <c r="F372" s="49"/>
      <c r="AC372" s="49"/>
    </row>
    <row r="373" spans="6:29" x14ac:dyDescent="0.2">
      <c r="F373" s="49"/>
      <c r="AC373" s="49"/>
    </row>
    <row r="374" spans="6:29" x14ac:dyDescent="0.2">
      <c r="F374" s="49"/>
      <c r="AC374" s="49"/>
    </row>
    <row r="375" spans="6:29" x14ac:dyDescent="0.2">
      <c r="F375" s="49"/>
      <c r="AC375" s="49"/>
    </row>
    <row r="376" spans="6:29" x14ac:dyDescent="0.2">
      <c r="F376" s="49"/>
      <c r="AC376" s="49"/>
    </row>
    <row r="377" spans="6:29" x14ac:dyDescent="0.2">
      <c r="F377" s="49"/>
      <c r="AC377" s="49"/>
    </row>
    <row r="378" spans="6:29" x14ac:dyDescent="0.2">
      <c r="F378" s="49"/>
      <c r="AC378" s="49"/>
    </row>
    <row r="379" spans="6:29" x14ac:dyDescent="0.2">
      <c r="F379" s="49"/>
      <c r="AC379" s="49"/>
    </row>
    <row r="380" spans="6:29" x14ac:dyDescent="0.2">
      <c r="F380" s="49"/>
      <c r="AC380" s="49"/>
    </row>
    <row r="381" spans="6:29" x14ac:dyDescent="0.2">
      <c r="F381" s="49"/>
      <c r="AC381" s="49"/>
    </row>
    <row r="382" spans="6:29" x14ac:dyDescent="0.2">
      <c r="F382" s="49"/>
      <c r="AC382" s="49"/>
    </row>
    <row r="383" spans="6:29" x14ac:dyDescent="0.2">
      <c r="F383" s="49"/>
      <c r="AC383" s="49"/>
    </row>
    <row r="384" spans="6:29" x14ac:dyDescent="0.2">
      <c r="F384" s="49"/>
      <c r="AC384" s="49"/>
    </row>
    <row r="385" spans="6:29" x14ac:dyDescent="0.2">
      <c r="F385" s="49"/>
      <c r="AC385" s="49"/>
    </row>
    <row r="386" spans="6:29" x14ac:dyDescent="0.2">
      <c r="F386" s="49"/>
      <c r="AC386" s="49"/>
    </row>
    <row r="387" spans="6:29" x14ac:dyDescent="0.2">
      <c r="F387" s="49"/>
      <c r="AC387" s="49"/>
    </row>
    <row r="388" spans="6:29" x14ac:dyDescent="0.2">
      <c r="F388" s="49"/>
      <c r="AC388" s="49"/>
    </row>
    <row r="389" spans="6:29" x14ac:dyDescent="0.2">
      <c r="F389" s="49"/>
      <c r="AC389" s="49"/>
    </row>
    <row r="390" spans="6:29" x14ac:dyDescent="0.2">
      <c r="F390" s="49"/>
      <c r="AC390" s="49"/>
    </row>
    <row r="391" spans="6:29" x14ac:dyDescent="0.2">
      <c r="F391" s="49"/>
      <c r="AC391" s="49"/>
    </row>
    <row r="392" spans="6:29" x14ac:dyDescent="0.2">
      <c r="F392" s="49"/>
      <c r="AC392" s="49"/>
    </row>
    <row r="393" spans="6:29" x14ac:dyDescent="0.2">
      <c r="F393" s="49"/>
      <c r="AC393" s="49"/>
    </row>
    <row r="394" spans="6:29" x14ac:dyDescent="0.2">
      <c r="F394" s="49"/>
      <c r="AC394" s="49"/>
    </row>
    <row r="395" spans="6:29" x14ac:dyDescent="0.2">
      <c r="F395" s="49"/>
      <c r="AC395" s="49"/>
    </row>
    <row r="396" spans="6:29" x14ac:dyDescent="0.2">
      <c r="F396" s="49"/>
      <c r="AC396" s="49"/>
    </row>
    <row r="397" spans="6:29" x14ac:dyDescent="0.2">
      <c r="F397" s="49"/>
      <c r="AC397" s="49"/>
    </row>
    <row r="398" spans="6:29" x14ac:dyDescent="0.2">
      <c r="F398" s="49"/>
      <c r="AC398" s="49"/>
    </row>
    <row r="399" spans="6:29" x14ac:dyDescent="0.2">
      <c r="F399" s="49"/>
      <c r="AC399" s="49"/>
    </row>
    <row r="400" spans="6:29" x14ac:dyDescent="0.2">
      <c r="F400" s="49"/>
      <c r="AC400" s="49"/>
    </row>
    <row r="401" spans="6:29" x14ac:dyDescent="0.2">
      <c r="F401" s="49"/>
      <c r="AC401" s="49"/>
    </row>
    <row r="402" spans="6:29" x14ac:dyDescent="0.2">
      <c r="F402" s="49"/>
      <c r="AC402" s="49"/>
    </row>
    <row r="403" spans="6:29" x14ac:dyDescent="0.2">
      <c r="F403" s="49"/>
      <c r="AC403" s="49"/>
    </row>
    <row r="404" spans="6:29" x14ac:dyDescent="0.2">
      <c r="F404" s="49"/>
      <c r="AC404" s="49"/>
    </row>
    <row r="405" spans="6:29" x14ac:dyDescent="0.2">
      <c r="F405" s="49"/>
      <c r="AC405" s="49"/>
    </row>
    <row r="406" spans="6:29" x14ac:dyDescent="0.2">
      <c r="F406" s="49"/>
      <c r="AC406" s="49"/>
    </row>
    <row r="407" spans="6:29" x14ac:dyDescent="0.2">
      <c r="F407" s="49"/>
      <c r="AC407" s="49"/>
    </row>
    <row r="408" spans="6:29" x14ac:dyDescent="0.2">
      <c r="F408" s="49"/>
      <c r="AC408" s="49"/>
    </row>
    <row r="409" spans="6:29" x14ac:dyDescent="0.2">
      <c r="F409" s="49"/>
      <c r="AC409" s="49"/>
    </row>
    <row r="410" spans="6:29" x14ac:dyDescent="0.2">
      <c r="F410" s="49"/>
      <c r="AC410" s="49"/>
    </row>
    <row r="411" spans="6:29" x14ac:dyDescent="0.2">
      <c r="F411" s="49"/>
      <c r="AC411" s="49"/>
    </row>
    <row r="412" spans="6:29" x14ac:dyDescent="0.2">
      <c r="F412" s="49"/>
      <c r="AC412" s="49"/>
    </row>
    <row r="413" spans="6:29" x14ac:dyDescent="0.2">
      <c r="F413" s="49"/>
      <c r="AC413" s="49"/>
    </row>
    <row r="414" spans="6:29" x14ac:dyDescent="0.2">
      <c r="F414" s="49"/>
      <c r="AC414" s="49"/>
    </row>
    <row r="415" spans="6:29" x14ac:dyDescent="0.2">
      <c r="F415" s="49"/>
      <c r="AC415" s="49"/>
    </row>
    <row r="416" spans="6:29" x14ac:dyDescent="0.2">
      <c r="F416" s="49"/>
      <c r="AC416" s="49"/>
    </row>
    <row r="417" spans="6:29" x14ac:dyDescent="0.2">
      <c r="F417" s="49"/>
      <c r="AC417" s="49"/>
    </row>
    <row r="418" spans="6:29" x14ac:dyDescent="0.2">
      <c r="F418" s="49"/>
      <c r="AC418" s="49"/>
    </row>
    <row r="419" spans="6:29" x14ac:dyDescent="0.2">
      <c r="F419" s="49"/>
      <c r="AC419" s="49"/>
    </row>
    <row r="420" spans="6:29" x14ac:dyDescent="0.2">
      <c r="F420" s="49"/>
      <c r="AC420" s="49"/>
    </row>
    <row r="421" spans="6:29" x14ac:dyDescent="0.2">
      <c r="F421" s="49"/>
      <c r="AC421" s="49"/>
    </row>
    <row r="422" spans="6:29" x14ac:dyDescent="0.2">
      <c r="F422" s="49"/>
      <c r="AC422" s="49"/>
    </row>
    <row r="423" spans="6:29" x14ac:dyDescent="0.2">
      <c r="F423" s="49"/>
      <c r="AC423" s="49"/>
    </row>
    <row r="424" spans="6:29" x14ac:dyDescent="0.2">
      <c r="F424" s="49"/>
      <c r="AC424" s="49"/>
    </row>
    <row r="425" spans="6:29" x14ac:dyDescent="0.2">
      <c r="F425" s="49"/>
      <c r="AC425" s="49"/>
    </row>
    <row r="426" spans="6:29" x14ac:dyDescent="0.2">
      <c r="F426" s="49"/>
      <c r="AC426" s="49"/>
    </row>
    <row r="427" spans="6:29" x14ac:dyDescent="0.2">
      <c r="F427" s="49"/>
      <c r="AC427" s="49"/>
    </row>
    <row r="428" spans="6:29" x14ac:dyDescent="0.2">
      <c r="F428" s="49"/>
      <c r="AC428" s="49"/>
    </row>
    <row r="429" spans="6:29" x14ac:dyDescent="0.2">
      <c r="F429" s="49"/>
      <c r="AC429" s="49"/>
    </row>
    <row r="430" spans="6:29" x14ac:dyDescent="0.2">
      <c r="F430" s="49"/>
      <c r="AC430" s="49"/>
    </row>
    <row r="431" spans="6:29" x14ac:dyDescent="0.2">
      <c r="F431" s="49"/>
      <c r="AC431" s="49"/>
    </row>
    <row r="432" spans="6:29" x14ac:dyDescent="0.2">
      <c r="F432" s="49"/>
      <c r="AC432" s="49"/>
    </row>
    <row r="433" spans="6:29" x14ac:dyDescent="0.2">
      <c r="F433" s="49"/>
      <c r="AC433" s="49"/>
    </row>
    <row r="434" spans="6:29" x14ac:dyDescent="0.2">
      <c r="F434" s="49"/>
      <c r="AC434" s="49"/>
    </row>
    <row r="435" spans="6:29" x14ac:dyDescent="0.2">
      <c r="F435" s="49"/>
      <c r="AC435" s="49"/>
    </row>
    <row r="436" spans="6:29" x14ac:dyDescent="0.2">
      <c r="F436" s="49"/>
      <c r="AC436" s="49"/>
    </row>
    <row r="437" spans="6:29" x14ac:dyDescent="0.2">
      <c r="F437" s="49"/>
      <c r="AC437" s="49"/>
    </row>
    <row r="438" spans="6:29" x14ac:dyDescent="0.2">
      <c r="F438" s="49"/>
      <c r="AC438" s="49"/>
    </row>
    <row r="439" spans="6:29" x14ac:dyDescent="0.2">
      <c r="F439" s="49"/>
      <c r="AC439" s="49"/>
    </row>
    <row r="440" spans="6:29" x14ac:dyDescent="0.2">
      <c r="F440" s="49"/>
      <c r="AC440" s="49"/>
    </row>
    <row r="441" spans="6:29" x14ac:dyDescent="0.2">
      <c r="F441" s="49"/>
      <c r="AC441" s="49"/>
    </row>
    <row r="442" spans="6:29" x14ac:dyDescent="0.2">
      <c r="F442" s="49"/>
      <c r="AC442" s="49"/>
    </row>
    <row r="443" spans="6:29" x14ac:dyDescent="0.2">
      <c r="F443" s="49"/>
      <c r="AC443" s="49"/>
    </row>
    <row r="444" spans="6:29" x14ac:dyDescent="0.2">
      <c r="F444" s="49"/>
      <c r="AC444" s="49"/>
    </row>
    <row r="445" spans="6:29" x14ac:dyDescent="0.2">
      <c r="F445" s="49"/>
      <c r="AC445" s="49"/>
    </row>
    <row r="446" spans="6:29" x14ac:dyDescent="0.2">
      <c r="F446" s="49"/>
      <c r="AC446" s="49"/>
    </row>
    <row r="447" spans="6:29" x14ac:dyDescent="0.2">
      <c r="F447" s="49"/>
      <c r="AC447" s="49"/>
    </row>
    <row r="448" spans="6:29" x14ac:dyDescent="0.2">
      <c r="F448" s="49"/>
      <c r="AC448" s="49"/>
    </row>
    <row r="449" spans="6:29" x14ac:dyDescent="0.2">
      <c r="F449" s="49"/>
      <c r="AC449" s="49"/>
    </row>
    <row r="450" spans="6:29" x14ac:dyDescent="0.2">
      <c r="F450" s="49"/>
      <c r="AC450" s="49"/>
    </row>
    <row r="451" spans="6:29" x14ac:dyDescent="0.2">
      <c r="F451" s="49"/>
      <c r="AC451" s="49"/>
    </row>
    <row r="452" spans="6:29" x14ac:dyDescent="0.2">
      <c r="F452" s="49"/>
      <c r="AC452" s="49"/>
    </row>
    <row r="453" spans="6:29" x14ac:dyDescent="0.2">
      <c r="F453" s="49"/>
      <c r="AC453" s="49"/>
    </row>
    <row r="454" spans="6:29" x14ac:dyDescent="0.2">
      <c r="F454" s="49"/>
      <c r="AC454" s="49"/>
    </row>
    <row r="455" spans="6:29" x14ac:dyDescent="0.2">
      <c r="F455" s="49"/>
      <c r="AC455" s="49"/>
    </row>
    <row r="456" spans="6:29" x14ac:dyDescent="0.2">
      <c r="F456" s="49"/>
      <c r="AC456" s="49"/>
    </row>
    <row r="457" spans="6:29" x14ac:dyDescent="0.2">
      <c r="F457" s="49"/>
      <c r="AC457" s="49"/>
    </row>
    <row r="458" spans="6:29" x14ac:dyDescent="0.2">
      <c r="F458" s="49"/>
      <c r="AC458" s="49"/>
    </row>
    <row r="459" spans="6:29" x14ac:dyDescent="0.2">
      <c r="F459" s="49"/>
      <c r="AC459" s="49"/>
    </row>
    <row r="460" spans="6:29" x14ac:dyDescent="0.2">
      <c r="F460" s="49"/>
      <c r="AC460" s="49"/>
    </row>
    <row r="461" spans="6:29" x14ac:dyDescent="0.2">
      <c r="F461" s="49"/>
      <c r="AC461" s="49"/>
    </row>
    <row r="462" spans="6:29" x14ac:dyDescent="0.2">
      <c r="F462" s="49"/>
      <c r="AC462" s="59"/>
    </row>
    <row r="463" spans="6:29" x14ac:dyDescent="0.2">
      <c r="F463" s="59"/>
      <c r="AC463"/>
    </row>
    <row r="464" spans="6:29" x14ac:dyDescent="0.2">
      <c r="F464"/>
      <c r="AC464" s="77"/>
    </row>
    <row r="465" spans="6:29" x14ac:dyDescent="0.2">
      <c r="F465" s="77"/>
      <c r="AC465" s="9"/>
    </row>
    <row r="466" spans="6:29" x14ac:dyDescent="0.2">
      <c r="F466" s="9"/>
      <c r="AC466" s="97"/>
    </row>
    <row r="467" spans="6:29" x14ac:dyDescent="0.2">
      <c r="F467" s="97"/>
      <c r="AC467" s="77"/>
    </row>
    <row r="468" spans="6:29" x14ac:dyDescent="0.2">
      <c r="F468" s="77"/>
      <c r="AC468" s="13"/>
    </row>
    <row r="469" spans="6:29" x14ac:dyDescent="0.2">
      <c r="F469" s="13"/>
    </row>
  </sheetData>
  <sortState xmlns:xlrd2="http://schemas.microsoft.com/office/spreadsheetml/2017/richdata2" ref="H2:Q80">
    <sortCondition ref="J2:J80"/>
  </sortState>
  <dataConsolidate>
    <dataRefs count="1">
      <dataRef ref="M2:Q5705" sheet="Sheet1" r:id="rId1"/>
    </dataRefs>
  </dataConsolid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24116-1DC1-4BFE-AFB6-D0461D1DAD00}">
  <dimension ref="A1:AH234"/>
  <sheetViews>
    <sheetView zoomScale="92" zoomScaleNormal="92" workbookViewId="0">
      <pane ySplit="1" topLeftCell="A2" activePane="bottomLeft" state="frozen"/>
      <selection activeCell="M1" sqref="M1"/>
      <selection pane="bottomLeft" activeCell="H51" sqref="H51"/>
    </sheetView>
  </sheetViews>
  <sheetFormatPr baseColWidth="10" defaultRowHeight="15" x14ac:dyDescent="0.2"/>
  <cols>
    <col min="4" max="4" width="21.83203125" bestFit="1" customWidth="1"/>
    <col min="27" max="27" width="21.83203125" bestFit="1" customWidth="1"/>
    <col min="29" max="29" width="21.83203125" bestFit="1" customWidth="1"/>
    <col min="31" max="31" width="21.83203125" bestFit="1" customWidth="1"/>
    <col min="33" max="33" width="21.83203125" bestFit="1" customWidth="1"/>
  </cols>
  <sheetData>
    <row r="1" spans="1:34" x14ac:dyDescent="0.2">
      <c r="A1" t="s">
        <v>1117</v>
      </c>
      <c r="B1" t="s">
        <v>1118</v>
      </c>
      <c r="C1" t="s">
        <v>1119</v>
      </c>
      <c r="D1" t="s">
        <v>1120</v>
      </c>
      <c r="E1" t="s">
        <v>1121</v>
      </c>
      <c r="F1" t="s">
        <v>1122</v>
      </c>
      <c r="G1" t="s">
        <v>1123</v>
      </c>
      <c r="H1" t="s">
        <v>1124</v>
      </c>
      <c r="I1" t="s">
        <v>1125</v>
      </c>
      <c r="J1" t="s">
        <v>1126</v>
      </c>
      <c r="K1" t="s">
        <v>1127</v>
      </c>
      <c r="L1" t="s">
        <v>1128</v>
      </c>
      <c r="M1" t="s">
        <v>1089</v>
      </c>
      <c r="N1" t="s">
        <v>1129</v>
      </c>
      <c r="O1" t="s">
        <v>1130</v>
      </c>
      <c r="P1" t="s">
        <v>1131</v>
      </c>
      <c r="Q1" t="s">
        <v>1132</v>
      </c>
      <c r="R1" t="s">
        <v>1133</v>
      </c>
      <c r="S1" t="s">
        <v>1134</v>
      </c>
      <c r="T1" t="s">
        <v>1135</v>
      </c>
      <c r="U1" t="s">
        <v>1136</v>
      </c>
      <c r="V1" t="s">
        <v>1137</v>
      </c>
      <c r="AA1" t="s">
        <v>1120</v>
      </c>
      <c r="AB1" t="s">
        <v>1130</v>
      </c>
      <c r="AC1" t="s">
        <v>1120</v>
      </c>
      <c r="AD1" t="s">
        <v>1134</v>
      </c>
      <c r="AE1" t="s">
        <v>1120</v>
      </c>
      <c r="AF1" t="s">
        <v>1121</v>
      </c>
      <c r="AG1" t="s">
        <v>1120</v>
      </c>
      <c r="AH1" t="s">
        <v>1089</v>
      </c>
    </row>
    <row r="2" spans="1:34" x14ac:dyDescent="0.2">
      <c r="A2" t="s">
        <v>2001</v>
      </c>
      <c r="B2" t="s">
        <v>2002</v>
      </c>
      <c r="C2" t="s">
        <v>2003</v>
      </c>
      <c r="D2" t="s">
        <v>21</v>
      </c>
      <c r="E2">
        <v>86</v>
      </c>
      <c r="F2">
        <v>2</v>
      </c>
      <c r="G2" s="30">
        <v>1E-4</v>
      </c>
      <c r="H2" s="30">
        <v>1E-4</v>
      </c>
      <c r="I2">
        <v>123</v>
      </c>
      <c r="J2">
        <v>2</v>
      </c>
      <c r="K2" s="30">
        <v>1E-4</v>
      </c>
      <c r="L2" s="30">
        <v>1E-4</v>
      </c>
      <c r="M2" s="30">
        <v>0.13389999999999999</v>
      </c>
      <c r="N2" s="30">
        <v>0</v>
      </c>
      <c r="O2">
        <v>5</v>
      </c>
      <c r="P2">
        <v>0</v>
      </c>
      <c r="Q2" s="30">
        <v>5.8099999999999999E-2</v>
      </c>
      <c r="R2" s="30">
        <v>0</v>
      </c>
      <c r="S2" s="31">
        <v>74.95</v>
      </c>
      <c r="T2" s="31">
        <v>0</v>
      </c>
      <c r="U2">
        <v>3</v>
      </c>
      <c r="V2">
        <v>0</v>
      </c>
      <c r="AA2" t="s">
        <v>21</v>
      </c>
      <c r="AB2">
        <v>5</v>
      </c>
      <c r="AC2" t="s">
        <v>21</v>
      </c>
      <c r="AD2" s="31">
        <v>74.95</v>
      </c>
      <c r="AE2" t="s">
        <v>21</v>
      </c>
      <c r="AF2">
        <v>86</v>
      </c>
      <c r="AG2" t="s">
        <v>21</v>
      </c>
      <c r="AH2" s="30">
        <v>0.13389999999999999</v>
      </c>
    </row>
    <row r="3" spans="1:34" x14ac:dyDescent="0.2">
      <c r="A3" t="s">
        <v>2146</v>
      </c>
      <c r="B3" t="s">
        <v>2167</v>
      </c>
      <c r="C3" t="s">
        <v>2168</v>
      </c>
      <c r="D3" t="s">
        <v>26</v>
      </c>
      <c r="E3">
        <v>7</v>
      </c>
      <c r="F3">
        <v>0</v>
      </c>
      <c r="G3" s="30">
        <v>0</v>
      </c>
      <c r="H3" s="30">
        <v>0</v>
      </c>
      <c r="I3">
        <v>11</v>
      </c>
      <c r="J3">
        <v>0</v>
      </c>
      <c r="K3" s="30">
        <v>0</v>
      </c>
      <c r="L3" s="30">
        <v>0</v>
      </c>
      <c r="M3" s="30">
        <v>1</v>
      </c>
      <c r="N3" s="30">
        <v>0</v>
      </c>
      <c r="O3">
        <v>5</v>
      </c>
      <c r="P3">
        <v>0</v>
      </c>
      <c r="Q3" s="30">
        <v>0.71430000000000005</v>
      </c>
      <c r="R3" s="30">
        <v>0</v>
      </c>
      <c r="S3" s="31">
        <v>65</v>
      </c>
      <c r="T3" s="31">
        <v>0</v>
      </c>
      <c r="U3">
        <v>2</v>
      </c>
      <c r="V3">
        <v>0</v>
      </c>
      <c r="AA3" t="s">
        <v>26</v>
      </c>
      <c r="AB3">
        <v>5</v>
      </c>
      <c r="AC3" t="s">
        <v>26</v>
      </c>
      <c r="AD3" s="31">
        <v>65</v>
      </c>
      <c r="AE3" t="s">
        <v>26</v>
      </c>
      <c r="AF3">
        <v>7</v>
      </c>
      <c r="AG3" t="s">
        <v>26</v>
      </c>
      <c r="AH3" s="30">
        <v>1</v>
      </c>
    </row>
    <row r="4" spans="1:34" x14ac:dyDescent="0.2">
      <c r="A4" t="s">
        <v>2146</v>
      </c>
      <c r="B4" t="s">
        <v>2169</v>
      </c>
      <c r="C4" t="s">
        <v>2170</v>
      </c>
      <c r="D4" t="s">
        <v>42</v>
      </c>
      <c r="E4">
        <v>11</v>
      </c>
      <c r="F4">
        <v>0</v>
      </c>
      <c r="G4" s="30">
        <v>0</v>
      </c>
      <c r="H4" s="30">
        <v>0</v>
      </c>
      <c r="I4">
        <v>17</v>
      </c>
      <c r="J4">
        <v>0</v>
      </c>
      <c r="K4" s="30">
        <v>0</v>
      </c>
      <c r="L4" s="30">
        <v>0</v>
      </c>
      <c r="M4" s="30">
        <v>1</v>
      </c>
      <c r="N4" s="30">
        <v>0</v>
      </c>
      <c r="O4">
        <v>3</v>
      </c>
      <c r="P4">
        <v>0</v>
      </c>
      <c r="Q4" s="30">
        <v>0.2727</v>
      </c>
      <c r="R4" s="30">
        <v>0</v>
      </c>
      <c r="S4" s="31">
        <v>39</v>
      </c>
      <c r="T4" s="31">
        <v>0</v>
      </c>
      <c r="U4">
        <v>2</v>
      </c>
      <c r="V4">
        <v>0</v>
      </c>
      <c r="AA4" t="s">
        <v>42</v>
      </c>
      <c r="AB4">
        <v>3</v>
      </c>
      <c r="AC4" t="s">
        <v>42</v>
      </c>
      <c r="AD4" s="31">
        <v>39</v>
      </c>
      <c r="AE4" t="s">
        <v>42</v>
      </c>
      <c r="AF4">
        <v>11</v>
      </c>
      <c r="AG4" t="s">
        <v>42</v>
      </c>
      <c r="AH4" s="30">
        <v>1</v>
      </c>
    </row>
    <row r="5" spans="1:34" x14ac:dyDescent="0.2">
      <c r="A5" t="s">
        <v>2146</v>
      </c>
      <c r="B5" t="s">
        <v>2171</v>
      </c>
      <c r="C5" t="s">
        <v>2172</v>
      </c>
      <c r="D5" t="s">
        <v>44</v>
      </c>
      <c r="E5">
        <v>2</v>
      </c>
      <c r="F5">
        <v>0</v>
      </c>
      <c r="G5" s="30">
        <v>0</v>
      </c>
      <c r="H5" s="30">
        <v>0</v>
      </c>
      <c r="I5">
        <v>7</v>
      </c>
      <c r="J5">
        <v>0</v>
      </c>
      <c r="K5" s="30">
        <v>0</v>
      </c>
      <c r="L5" s="30">
        <v>0</v>
      </c>
      <c r="M5" s="30">
        <v>1</v>
      </c>
      <c r="N5" s="30">
        <v>0</v>
      </c>
      <c r="O5">
        <v>1</v>
      </c>
      <c r="P5">
        <v>0</v>
      </c>
      <c r="Q5" s="30">
        <v>0.5</v>
      </c>
      <c r="R5" s="30">
        <v>0</v>
      </c>
      <c r="S5" s="31">
        <v>13</v>
      </c>
      <c r="T5" s="31">
        <v>0</v>
      </c>
      <c r="U5">
        <v>1</v>
      </c>
      <c r="V5">
        <v>0</v>
      </c>
      <c r="AA5" t="s">
        <v>44</v>
      </c>
      <c r="AB5">
        <v>1</v>
      </c>
      <c r="AC5" t="s">
        <v>44</v>
      </c>
      <c r="AD5" s="31">
        <v>13</v>
      </c>
      <c r="AE5" t="s">
        <v>44</v>
      </c>
      <c r="AF5">
        <v>2</v>
      </c>
      <c r="AG5" t="s">
        <v>44</v>
      </c>
      <c r="AH5" s="30">
        <v>1</v>
      </c>
    </row>
    <row r="6" spans="1:34" x14ac:dyDescent="0.2">
      <c r="A6" t="s">
        <v>1138</v>
      </c>
      <c r="B6" t="s">
        <v>2032</v>
      </c>
      <c r="C6" t="s">
        <v>1989</v>
      </c>
      <c r="D6" t="s">
        <v>50</v>
      </c>
      <c r="E6">
        <v>271</v>
      </c>
      <c r="F6">
        <v>4</v>
      </c>
      <c r="G6" s="30">
        <v>2.0000000000000001E-4</v>
      </c>
      <c r="H6" s="30">
        <v>2.0000000000000001E-4</v>
      </c>
      <c r="I6">
        <v>390</v>
      </c>
      <c r="J6">
        <v>4</v>
      </c>
      <c r="K6" s="30">
        <v>2.0000000000000001E-4</v>
      </c>
      <c r="L6" s="30">
        <v>1E-4</v>
      </c>
      <c r="M6" s="30">
        <v>1</v>
      </c>
      <c r="N6" s="30">
        <v>1</v>
      </c>
      <c r="O6">
        <v>87</v>
      </c>
      <c r="P6">
        <v>0</v>
      </c>
      <c r="Q6" s="30">
        <v>0.32100000000000001</v>
      </c>
      <c r="R6" s="30">
        <v>0</v>
      </c>
      <c r="S6" s="31">
        <v>1304.1300000000001</v>
      </c>
      <c r="T6" s="31">
        <v>0</v>
      </c>
      <c r="U6">
        <v>34</v>
      </c>
      <c r="V6">
        <v>0</v>
      </c>
      <c r="AA6" t="s">
        <v>50</v>
      </c>
      <c r="AB6">
        <v>87</v>
      </c>
      <c r="AC6" t="s">
        <v>50</v>
      </c>
      <c r="AD6" s="31">
        <v>1304.1300000000001</v>
      </c>
      <c r="AE6" t="s">
        <v>50</v>
      </c>
      <c r="AF6">
        <v>271</v>
      </c>
      <c r="AG6" t="s">
        <v>50</v>
      </c>
      <c r="AH6" s="30">
        <v>1</v>
      </c>
    </row>
    <row r="7" spans="1:34" x14ac:dyDescent="0.2">
      <c r="A7" t="s">
        <v>1138</v>
      </c>
      <c r="B7" t="s">
        <v>2147</v>
      </c>
      <c r="C7" t="s">
        <v>2148</v>
      </c>
      <c r="D7" t="s">
        <v>52</v>
      </c>
      <c r="E7">
        <v>131</v>
      </c>
      <c r="F7">
        <v>1</v>
      </c>
      <c r="G7" s="30">
        <v>1E-4</v>
      </c>
      <c r="H7" s="30">
        <v>0</v>
      </c>
      <c r="I7">
        <v>177</v>
      </c>
      <c r="J7">
        <v>1</v>
      </c>
      <c r="K7" s="30">
        <v>1E-4</v>
      </c>
      <c r="L7" s="30">
        <v>0</v>
      </c>
      <c r="M7" s="30">
        <v>1</v>
      </c>
      <c r="N7" s="30">
        <v>1</v>
      </c>
      <c r="O7">
        <v>46</v>
      </c>
      <c r="P7">
        <v>0</v>
      </c>
      <c r="Q7" s="30">
        <v>0.35110000000000002</v>
      </c>
      <c r="R7" s="30">
        <v>0</v>
      </c>
      <c r="S7" s="31">
        <v>690</v>
      </c>
      <c r="T7" s="31">
        <v>0</v>
      </c>
      <c r="U7">
        <v>19</v>
      </c>
      <c r="V7">
        <v>0</v>
      </c>
      <c r="AA7" t="s">
        <v>52</v>
      </c>
      <c r="AB7">
        <v>46</v>
      </c>
      <c r="AC7" t="s">
        <v>52</v>
      </c>
      <c r="AD7" s="31">
        <v>690</v>
      </c>
      <c r="AE7" t="s">
        <v>52</v>
      </c>
      <c r="AF7">
        <v>131</v>
      </c>
      <c r="AG7" t="s">
        <v>52</v>
      </c>
      <c r="AH7" s="30">
        <v>1</v>
      </c>
    </row>
    <row r="8" spans="1:34" x14ac:dyDescent="0.2">
      <c r="A8" t="s">
        <v>1138</v>
      </c>
      <c r="B8" t="s">
        <v>2173</v>
      </c>
      <c r="C8" t="s">
        <v>2174</v>
      </c>
      <c r="D8" t="s">
        <v>58</v>
      </c>
      <c r="E8">
        <v>36</v>
      </c>
      <c r="F8">
        <v>0</v>
      </c>
      <c r="G8" s="30">
        <v>0</v>
      </c>
      <c r="H8" s="30">
        <v>0</v>
      </c>
      <c r="I8">
        <v>52</v>
      </c>
      <c r="J8">
        <v>0</v>
      </c>
      <c r="K8" s="30">
        <v>0</v>
      </c>
      <c r="L8" s="30">
        <v>0</v>
      </c>
      <c r="M8" s="30">
        <v>0.4894</v>
      </c>
      <c r="N8" s="30">
        <v>0</v>
      </c>
      <c r="O8">
        <v>7</v>
      </c>
      <c r="P8">
        <v>0</v>
      </c>
      <c r="Q8" s="30">
        <v>0.19439999999999999</v>
      </c>
      <c r="R8" s="30">
        <v>0</v>
      </c>
      <c r="S8" s="31">
        <v>105</v>
      </c>
      <c r="T8" s="31">
        <v>0</v>
      </c>
      <c r="U8">
        <v>5</v>
      </c>
      <c r="V8">
        <v>0</v>
      </c>
      <c r="AA8" t="s">
        <v>58</v>
      </c>
      <c r="AB8">
        <v>7</v>
      </c>
      <c r="AC8" t="s">
        <v>58</v>
      </c>
      <c r="AD8" s="31">
        <v>105</v>
      </c>
      <c r="AE8" t="s">
        <v>58</v>
      </c>
      <c r="AF8">
        <v>36</v>
      </c>
      <c r="AG8" t="s">
        <v>58</v>
      </c>
      <c r="AH8" s="30">
        <v>0.4894</v>
      </c>
    </row>
    <row r="9" spans="1:34" x14ac:dyDescent="0.2">
      <c r="A9" t="s">
        <v>2025</v>
      </c>
      <c r="B9" t="s">
        <v>2118</v>
      </c>
      <c r="C9" t="s">
        <v>2119</v>
      </c>
      <c r="D9" t="s">
        <v>80</v>
      </c>
      <c r="E9">
        <v>20</v>
      </c>
      <c r="F9">
        <v>0</v>
      </c>
      <c r="G9" s="30">
        <v>0</v>
      </c>
      <c r="H9" s="30">
        <v>0</v>
      </c>
      <c r="I9">
        <v>36</v>
      </c>
      <c r="J9">
        <v>0</v>
      </c>
      <c r="K9" s="30">
        <v>0</v>
      </c>
      <c r="L9" s="30">
        <v>0</v>
      </c>
      <c r="M9" s="30">
        <v>0.96879999999999999</v>
      </c>
      <c r="N9" s="30">
        <v>0</v>
      </c>
      <c r="O9">
        <v>8</v>
      </c>
      <c r="P9">
        <v>0</v>
      </c>
      <c r="Q9" s="30">
        <v>0.4</v>
      </c>
      <c r="R9" s="30">
        <v>0</v>
      </c>
      <c r="S9" s="31">
        <v>144</v>
      </c>
      <c r="T9" s="31">
        <v>0</v>
      </c>
      <c r="U9">
        <v>3</v>
      </c>
      <c r="V9">
        <v>0</v>
      </c>
      <c r="AA9" t="s">
        <v>80</v>
      </c>
      <c r="AB9">
        <v>8</v>
      </c>
      <c r="AC9" t="s">
        <v>80</v>
      </c>
      <c r="AD9" s="31">
        <v>144</v>
      </c>
      <c r="AE9" t="s">
        <v>80</v>
      </c>
      <c r="AF9">
        <v>20</v>
      </c>
      <c r="AG9" t="s">
        <v>80</v>
      </c>
      <c r="AH9" s="30">
        <v>0.96879999999999999</v>
      </c>
    </row>
    <row r="10" spans="1:34" x14ac:dyDescent="0.2">
      <c r="A10" t="s">
        <v>1925</v>
      </c>
      <c r="B10" t="s">
        <v>2018</v>
      </c>
      <c r="C10" t="s">
        <v>2019</v>
      </c>
      <c r="D10" t="s">
        <v>106</v>
      </c>
      <c r="E10">
        <v>84</v>
      </c>
      <c r="F10">
        <v>0</v>
      </c>
      <c r="G10" s="30">
        <v>1E-4</v>
      </c>
      <c r="H10" s="30">
        <v>0</v>
      </c>
      <c r="I10">
        <v>105</v>
      </c>
      <c r="J10">
        <v>0</v>
      </c>
      <c r="K10" s="30">
        <v>1E-4</v>
      </c>
      <c r="L10" s="30">
        <v>0</v>
      </c>
      <c r="M10" s="30">
        <v>0.99019999999999997</v>
      </c>
      <c r="N10" s="30">
        <v>0</v>
      </c>
      <c r="O10">
        <v>2</v>
      </c>
      <c r="P10">
        <v>0</v>
      </c>
      <c r="Q10" s="30">
        <v>2.3800000000000002E-2</v>
      </c>
      <c r="R10" s="30">
        <v>0</v>
      </c>
      <c r="S10" s="31">
        <v>28</v>
      </c>
      <c r="T10" s="31">
        <v>0</v>
      </c>
      <c r="U10">
        <v>2</v>
      </c>
      <c r="V10">
        <v>0</v>
      </c>
      <c r="AA10" t="s">
        <v>106</v>
      </c>
      <c r="AB10">
        <v>2</v>
      </c>
      <c r="AC10" t="s">
        <v>106</v>
      </c>
      <c r="AD10" s="31">
        <v>28</v>
      </c>
      <c r="AE10" t="s">
        <v>106</v>
      </c>
      <c r="AF10">
        <v>84</v>
      </c>
      <c r="AG10" t="s">
        <v>106</v>
      </c>
      <c r="AH10" s="30">
        <v>0.99019999999999997</v>
      </c>
    </row>
    <row r="11" spans="1:34" x14ac:dyDescent="0.2">
      <c r="A11" t="s">
        <v>1190</v>
      </c>
      <c r="B11" t="s">
        <v>1193</v>
      </c>
      <c r="C11" t="s">
        <v>1194</v>
      </c>
      <c r="D11" t="s">
        <v>114</v>
      </c>
      <c r="E11">
        <v>191</v>
      </c>
      <c r="F11">
        <v>2</v>
      </c>
      <c r="G11" s="30">
        <v>1E-4</v>
      </c>
      <c r="H11" s="30">
        <v>1E-4</v>
      </c>
      <c r="I11">
        <v>298</v>
      </c>
      <c r="J11">
        <v>3</v>
      </c>
      <c r="K11" s="30">
        <v>1E-4</v>
      </c>
      <c r="L11" s="30">
        <v>1E-4</v>
      </c>
      <c r="M11" s="30">
        <v>0.32219999999999999</v>
      </c>
      <c r="N11" s="30">
        <v>0</v>
      </c>
      <c r="O11">
        <v>4</v>
      </c>
      <c r="P11">
        <v>0</v>
      </c>
      <c r="Q11" s="30">
        <v>2.0899999999999998E-2</v>
      </c>
      <c r="R11" s="30">
        <v>0</v>
      </c>
      <c r="S11" s="31">
        <v>87.96</v>
      </c>
      <c r="T11" s="31">
        <v>0</v>
      </c>
      <c r="U11">
        <v>3</v>
      </c>
      <c r="V11">
        <v>0</v>
      </c>
      <c r="AA11" t="s">
        <v>114</v>
      </c>
      <c r="AB11">
        <v>4</v>
      </c>
      <c r="AC11" t="s">
        <v>114</v>
      </c>
      <c r="AD11" s="31">
        <v>87.96</v>
      </c>
      <c r="AE11" t="s">
        <v>114</v>
      </c>
      <c r="AF11">
        <v>191</v>
      </c>
      <c r="AG11" t="s">
        <v>114</v>
      </c>
      <c r="AH11" s="30">
        <v>0.32219999999999999</v>
      </c>
    </row>
    <row r="12" spans="1:34" x14ac:dyDescent="0.2">
      <c r="A12" t="s">
        <v>2175</v>
      </c>
      <c r="B12" t="s">
        <v>2176</v>
      </c>
      <c r="C12" t="s">
        <v>2177</v>
      </c>
      <c r="D12" t="s">
        <v>123</v>
      </c>
      <c r="E12">
        <v>16</v>
      </c>
      <c r="F12">
        <v>1</v>
      </c>
      <c r="G12" s="30">
        <v>0</v>
      </c>
      <c r="H12" s="30">
        <v>0</v>
      </c>
      <c r="I12">
        <v>19</v>
      </c>
      <c r="J12">
        <v>1</v>
      </c>
      <c r="K12" s="30">
        <v>0</v>
      </c>
      <c r="L12" s="30">
        <v>0</v>
      </c>
      <c r="M12" s="30">
        <v>1</v>
      </c>
      <c r="N12" s="30">
        <v>0</v>
      </c>
      <c r="O12">
        <v>8</v>
      </c>
      <c r="P12">
        <v>0</v>
      </c>
      <c r="Q12" s="30">
        <v>0.5</v>
      </c>
      <c r="R12" s="30">
        <v>0</v>
      </c>
      <c r="S12" s="31">
        <v>128</v>
      </c>
      <c r="T12" s="31">
        <v>0</v>
      </c>
      <c r="U12">
        <v>3</v>
      </c>
      <c r="V12">
        <v>0</v>
      </c>
      <c r="AA12" t="s">
        <v>123</v>
      </c>
      <c r="AB12">
        <v>8</v>
      </c>
      <c r="AC12" t="s">
        <v>123</v>
      </c>
      <c r="AD12" s="31">
        <v>128</v>
      </c>
      <c r="AE12" t="s">
        <v>123</v>
      </c>
      <c r="AF12">
        <v>16</v>
      </c>
      <c r="AG12" t="s">
        <v>123</v>
      </c>
      <c r="AH12" s="30">
        <v>1</v>
      </c>
    </row>
    <row r="13" spans="1:34" x14ac:dyDescent="0.2">
      <c r="A13" t="s">
        <v>2178</v>
      </c>
      <c r="B13" t="s">
        <v>2179</v>
      </c>
      <c r="C13" t="s">
        <v>2180</v>
      </c>
      <c r="D13" t="s">
        <v>142</v>
      </c>
      <c r="E13">
        <v>18</v>
      </c>
      <c r="F13">
        <v>0</v>
      </c>
      <c r="G13" s="30">
        <v>0</v>
      </c>
      <c r="H13" s="30">
        <v>0</v>
      </c>
      <c r="I13">
        <v>34</v>
      </c>
      <c r="J13">
        <v>0</v>
      </c>
      <c r="K13" s="30">
        <v>0</v>
      </c>
      <c r="L13" s="30">
        <v>0</v>
      </c>
      <c r="M13" s="30">
        <v>1</v>
      </c>
      <c r="N13" s="30">
        <v>0</v>
      </c>
      <c r="O13">
        <v>5</v>
      </c>
      <c r="P13">
        <v>0</v>
      </c>
      <c r="Q13" s="30">
        <v>0.27779999999999999</v>
      </c>
      <c r="R13" s="30">
        <v>0</v>
      </c>
      <c r="S13" s="31">
        <v>70</v>
      </c>
      <c r="T13" s="31">
        <v>0</v>
      </c>
      <c r="U13">
        <v>2</v>
      </c>
      <c r="V13">
        <v>0</v>
      </c>
      <c r="AA13" t="s">
        <v>142</v>
      </c>
      <c r="AB13">
        <v>5</v>
      </c>
      <c r="AC13" t="s">
        <v>142</v>
      </c>
      <c r="AD13" s="31">
        <v>70</v>
      </c>
      <c r="AE13" t="s">
        <v>142</v>
      </c>
      <c r="AF13">
        <v>18</v>
      </c>
      <c r="AG13" t="s">
        <v>142</v>
      </c>
      <c r="AH13" s="30">
        <v>1</v>
      </c>
    </row>
    <row r="14" spans="1:34" x14ac:dyDescent="0.2">
      <c r="A14" t="s">
        <v>2178</v>
      </c>
      <c r="B14" t="s">
        <v>2181</v>
      </c>
      <c r="C14" t="s">
        <v>2182</v>
      </c>
      <c r="D14" t="s">
        <v>148</v>
      </c>
      <c r="E14">
        <v>8</v>
      </c>
      <c r="F14">
        <v>0</v>
      </c>
      <c r="G14" s="30">
        <v>0</v>
      </c>
      <c r="H14" s="30">
        <v>0</v>
      </c>
      <c r="I14">
        <v>9</v>
      </c>
      <c r="J14">
        <v>0</v>
      </c>
      <c r="K14" s="30">
        <v>0</v>
      </c>
      <c r="L14" s="30">
        <v>0</v>
      </c>
      <c r="M14" s="30">
        <v>1</v>
      </c>
      <c r="N14" s="30">
        <v>0</v>
      </c>
      <c r="O14">
        <v>1</v>
      </c>
      <c r="P14">
        <v>0</v>
      </c>
      <c r="Q14" s="30">
        <v>0.125</v>
      </c>
      <c r="R14" s="30">
        <v>0</v>
      </c>
      <c r="S14" s="31">
        <v>14</v>
      </c>
      <c r="T14" s="31">
        <v>0</v>
      </c>
      <c r="U14">
        <v>1</v>
      </c>
      <c r="V14">
        <v>0</v>
      </c>
      <c r="AA14" t="s">
        <v>148</v>
      </c>
      <c r="AB14">
        <v>1</v>
      </c>
      <c r="AC14" t="s">
        <v>148</v>
      </c>
      <c r="AD14" s="31">
        <v>14</v>
      </c>
      <c r="AE14" t="s">
        <v>148</v>
      </c>
      <c r="AF14">
        <v>8</v>
      </c>
      <c r="AG14" t="s">
        <v>148</v>
      </c>
      <c r="AH14" s="30">
        <v>1</v>
      </c>
    </row>
    <row r="15" spans="1:34" x14ac:dyDescent="0.2">
      <c r="A15" t="s">
        <v>2104</v>
      </c>
      <c r="B15" t="s">
        <v>2105</v>
      </c>
      <c r="C15" t="s">
        <v>2106</v>
      </c>
      <c r="D15" t="s">
        <v>153</v>
      </c>
      <c r="E15">
        <v>26</v>
      </c>
      <c r="F15">
        <v>0</v>
      </c>
      <c r="G15" s="30">
        <v>0</v>
      </c>
      <c r="H15" s="30">
        <v>0</v>
      </c>
      <c r="I15">
        <v>39</v>
      </c>
      <c r="J15">
        <v>0</v>
      </c>
      <c r="K15" s="30">
        <v>0</v>
      </c>
      <c r="L15" s="30">
        <v>0</v>
      </c>
      <c r="M15" s="30">
        <v>1</v>
      </c>
      <c r="N15" s="30">
        <v>0</v>
      </c>
      <c r="O15">
        <v>2</v>
      </c>
      <c r="P15">
        <v>0</v>
      </c>
      <c r="Q15" s="30">
        <v>7.6899999999999996E-2</v>
      </c>
      <c r="R15" s="30">
        <v>0</v>
      </c>
      <c r="S15" s="31">
        <v>32</v>
      </c>
      <c r="T15" s="31">
        <v>0</v>
      </c>
      <c r="U15">
        <v>2</v>
      </c>
      <c r="V15">
        <v>0</v>
      </c>
      <c r="AA15" t="s">
        <v>153</v>
      </c>
      <c r="AB15">
        <v>2</v>
      </c>
      <c r="AC15" t="s">
        <v>153</v>
      </c>
      <c r="AD15" s="31">
        <v>32</v>
      </c>
      <c r="AE15" t="s">
        <v>153</v>
      </c>
      <c r="AF15">
        <v>26</v>
      </c>
      <c r="AG15" t="s">
        <v>153</v>
      </c>
      <c r="AH15" s="30">
        <v>1</v>
      </c>
    </row>
    <row r="16" spans="1:34" x14ac:dyDescent="0.2">
      <c r="A16" t="s">
        <v>1923</v>
      </c>
      <c r="B16" t="s">
        <v>1139</v>
      </c>
      <c r="C16" t="s">
        <v>1924</v>
      </c>
      <c r="D16" t="s">
        <v>160</v>
      </c>
      <c r="E16">
        <v>27</v>
      </c>
      <c r="F16">
        <v>0</v>
      </c>
      <c r="G16" s="30">
        <v>0</v>
      </c>
      <c r="H16" s="30">
        <v>0</v>
      </c>
      <c r="I16">
        <v>34</v>
      </c>
      <c r="J16">
        <v>0</v>
      </c>
      <c r="K16" s="30">
        <v>0</v>
      </c>
      <c r="L16" s="30">
        <v>0</v>
      </c>
      <c r="M16" s="30">
        <v>1</v>
      </c>
      <c r="N16" s="30">
        <v>0</v>
      </c>
      <c r="O16">
        <v>2</v>
      </c>
      <c r="P16">
        <v>0</v>
      </c>
      <c r="Q16" s="30">
        <v>7.4099999999999999E-2</v>
      </c>
      <c r="R16" s="30">
        <v>0</v>
      </c>
      <c r="S16" s="31">
        <v>32</v>
      </c>
      <c r="T16" s="31">
        <v>0</v>
      </c>
      <c r="U16">
        <v>1</v>
      </c>
      <c r="V16">
        <v>0</v>
      </c>
      <c r="AA16" t="s">
        <v>160</v>
      </c>
      <c r="AB16">
        <v>2</v>
      </c>
      <c r="AC16" t="s">
        <v>160</v>
      </c>
      <c r="AD16" s="31">
        <v>32</v>
      </c>
      <c r="AE16" t="s">
        <v>160</v>
      </c>
      <c r="AF16">
        <v>27</v>
      </c>
      <c r="AG16" t="s">
        <v>160</v>
      </c>
      <c r="AH16" s="30">
        <v>1</v>
      </c>
    </row>
    <row r="17" spans="1:34" x14ac:dyDescent="0.2">
      <c r="A17" t="s">
        <v>1868</v>
      </c>
      <c r="B17" t="s">
        <v>1868</v>
      </c>
      <c r="C17" t="s">
        <v>1869</v>
      </c>
      <c r="D17" t="s">
        <v>162</v>
      </c>
      <c r="E17">
        <v>25</v>
      </c>
      <c r="F17">
        <v>0</v>
      </c>
      <c r="G17" s="30">
        <v>0</v>
      </c>
      <c r="H17" s="30">
        <v>0</v>
      </c>
      <c r="I17">
        <v>34</v>
      </c>
      <c r="J17">
        <v>0</v>
      </c>
      <c r="K17" s="30">
        <v>0</v>
      </c>
      <c r="L17" s="30">
        <v>0</v>
      </c>
      <c r="M17" s="30">
        <v>1</v>
      </c>
      <c r="N17" s="30">
        <v>0</v>
      </c>
      <c r="O17">
        <v>4</v>
      </c>
      <c r="P17">
        <v>0</v>
      </c>
      <c r="Q17" s="30">
        <v>0.16</v>
      </c>
      <c r="R17" s="30">
        <v>0</v>
      </c>
      <c r="S17" s="31">
        <v>64</v>
      </c>
      <c r="T17" s="31">
        <v>0</v>
      </c>
      <c r="U17">
        <v>2</v>
      </c>
      <c r="V17">
        <v>0</v>
      </c>
      <c r="AA17" t="s">
        <v>162</v>
      </c>
      <c r="AB17">
        <v>4</v>
      </c>
      <c r="AC17" t="s">
        <v>162</v>
      </c>
      <c r="AD17" s="31">
        <v>64</v>
      </c>
      <c r="AE17" t="s">
        <v>162</v>
      </c>
      <c r="AF17">
        <v>25</v>
      </c>
      <c r="AG17" t="s">
        <v>162</v>
      </c>
      <c r="AH17" s="30">
        <v>1</v>
      </c>
    </row>
    <row r="18" spans="1:34" x14ac:dyDescent="0.2">
      <c r="A18" t="s">
        <v>1923</v>
      </c>
      <c r="B18" t="s">
        <v>1140</v>
      </c>
      <c r="C18" t="s">
        <v>1958</v>
      </c>
      <c r="D18" t="s">
        <v>164</v>
      </c>
      <c r="E18">
        <v>11</v>
      </c>
      <c r="F18">
        <v>0</v>
      </c>
      <c r="G18" s="30">
        <v>0</v>
      </c>
      <c r="H18" s="30">
        <v>0</v>
      </c>
      <c r="I18">
        <v>19</v>
      </c>
      <c r="J18">
        <v>0</v>
      </c>
      <c r="K18" s="30">
        <v>0</v>
      </c>
      <c r="L18" s="30">
        <v>0</v>
      </c>
      <c r="M18" s="30">
        <v>1</v>
      </c>
      <c r="N18" s="30">
        <v>0</v>
      </c>
      <c r="O18">
        <v>6</v>
      </c>
      <c r="P18">
        <v>0</v>
      </c>
      <c r="Q18" s="30">
        <v>0.54549999999999998</v>
      </c>
      <c r="R18" s="30">
        <v>0</v>
      </c>
      <c r="S18" s="31">
        <v>96</v>
      </c>
      <c r="T18" s="31">
        <v>0</v>
      </c>
      <c r="U18">
        <v>2</v>
      </c>
      <c r="V18">
        <v>0</v>
      </c>
      <c r="AA18" t="s">
        <v>164</v>
      </c>
      <c r="AB18">
        <v>6</v>
      </c>
      <c r="AC18" t="s">
        <v>164</v>
      </c>
      <c r="AD18" s="31">
        <v>96</v>
      </c>
      <c r="AE18" t="s">
        <v>164</v>
      </c>
      <c r="AF18">
        <v>11</v>
      </c>
      <c r="AG18" t="s">
        <v>164</v>
      </c>
      <c r="AH18" s="30">
        <v>1</v>
      </c>
    </row>
    <row r="19" spans="1:34" x14ac:dyDescent="0.2">
      <c r="A19" t="s">
        <v>1923</v>
      </c>
      <c r="B19" t="s">
        <v>2183</v>
      </c>
      <c r="C19" t="s">
        <v>2184</v>
      </c>
      <c r="D19" t="s">
        <v>166</v>
      </c>
      <c r="E19">
        <v>6</v>
      </c>
      <c r="F19">
        <v>0</v>
      </c>
      <c r="G19" s="30">
        <v>0</v>
      </c>
      <c r="H19" s="30">
        <v>0</v>
      </c>
      <c r="I19">
        <v>9</v>
      </c>
      <c r="J19">
        <v>0</v>
      </c>
      <c r="K19" s="30">
        <v>0</v>
      </c>
      <c r="L19" s="30">
        <v>0</v>
      </c>
      <c r="M19" s="30">
        <v>0.88890000000000002</v>
      </c>
      <c r="N19" s="30">
        <v>0</v>
      </c>
      <c r="O19">
        <v>4</v>
      </c>
      <c r="P19">
        <v>0</v>
      </c>
      <c r="Q19" s="30">
        <v>0.66669999999999996</v>
      </c>
      <c r="R19" s="30">
        <v>0</v>
      </c>
      <c r="S19" s="31">
        <v>64</v>
      </c>
      <c r="T19" s="31">
        <v>0</v>
      </c>
      <c r="U19">
        <v>1</v>
      </c>
      <c r="V19">
        <v>0</v>
      </c>
      <c r="AA19" t="s">
        <v>166</v>
      </c>
      <c r="AB19">
        <v>4</v>
      </c>
      <c r="AC19" t="s">
        <v>166</v>
      </c>
      <c r="AD19" s="31">
        <v>64</v>
      </c>
      <c r="AE19" t="s">
        <v>166</v>
      </c>
      <c r="AF19">
        <v>6</v>
      </c>
      <c r="AG19" t="s">
        <v>166</v>
      </c>
      <c r="AH19" s="30">
        <v>0.88890000000000002</v>
      </c>
    </row>
    <row r="20" spans="1:34" x14ac:dyDescent="0.2">
      <c r="A20" t="s">
        <v>1923</v>
      </c>
      <c r="B20" t="s">
        <v>2010</v>
      </c>
      <c r="C20" t="s">
        <v>2011</v>
      </c>
      <c r="D20" t="s">
        <v>168</v>
      </c>
      <c r="E20">
        <v>56</v>
      </c>
      <c r="F20">
        <v>0</v>
      </c>
      <c r="G20" s="30">
        <v>0</v>
      </c>
      <c r="H20" s="30">
        <v>0</v>
      </c>
      <c r="I20">
        <v>79</v>
      </c>
      <c r="J20">
        <v>0</v>
      </c>
      <c r="K20" s="30">
        <v>0</v>
      </c>
      <c r="L20" s="30">
        <v>0</v>
      </c>
      <c r="M20" s="30">
        <v>1</v>
      </c>
      <c r="N20" s="30">
        <v>0</v>
      </c>
      <c r="O20">
        <v>13</v>
      </c>
      <c r="P20">
        <v>0</v>
      </c>
      <c r="Q20" s="30">
        <v>0.2321</v>
      </c>
      <c r="R20" s="30">
        <v>0</v>
      </c>
      <c r="S20" s="31">
        <v>208</v>
      </c>
      <c r="T20" s="31">
        <v>0</v>
      </c>
      <c r="U20">
        <v>7</v>
      </c>
      <c r="V20">
        <v>0</v>
      </c>
      <c r="AA20" t="s">
        <v>168</v>
      </c>
      <c r="AB20">
        <v>13</v>
      </c>
      <c r="AC20" t="s">
        <v>168</v>
      </c>
      <c r="AD20" s="31">
        <v>208</v>
      </c>
      <c r="AE20" t="s">
        <v>168</v>
      </c>
      <c r="AF20">
        <v>56</v>
      </c>
      <c r="AG20" t="s">
        <v>168</v>
      </c>
      <c r="AH20" s="30">
        <v>1</v>
      </c>
    </row>
    <row r="21" spans="1:34" x14ac:dyDescent="0.2">
      <c r="A21" t="s">
        <v>1141</v>
      </c>
      <c r="B21" t="s">
        <v>2149</v>
      </c>
      <c r="C21" t="s">
        <v>2150</v>
      </c>
      <c r="D21" t="s">
        <v>172</v>
      </c>
      <c r="E21">
        <v>30</v>
      </c>
      <c r="F21">
        <v>1</v>
      </c>
      <c r="G21" s="30">
        <v>0</v>
      </c>
      <c r="H21" s="30">
        <v>0</v>
      </c>
      <c r="I21">
        <v>47</v>
      </c>
      <c r="J21">
        <v>2</v>
      </c>
      <c r="K21" s="30">
        <v>0</v>
      </c>
      <c r="L21" s="30">
        <v>1E-4</v>
      </c>
      <c r="M21" s="30">
        <v>1</v>
      </c>
      <c r="N21" s="30">
        <v>0</v>
      </c>
      <c r="O21">
        <v>3</v>
      </c>
      <c r="P21">
        <v>0</v>
      </c>
      <c r="Q21" s="30">
        <v>0.1</v>
      </c>
      <c r="R21" s="30">
        <v>0</v>
      </c>
      <c r="S21" s="31">
        <v>45</v>
      </c>
      <c r="T21" s="31">
        <v>0</v>
      </c>
      <c r="U21">
        <v>1</v>
      </c>
      <c r="V21">
        <v>0</v>
      </c>
      <c r="AA21" t="s">
        <v>172</v>
      </c>
      <c r="AB21">
        <v>3</v>
      </c>
      <c r="AC21" t="s">
        <v>172</v>
      </c>
      <c r="AD21" s="31">
        <v>45</v>
      </c>
      <c r="AE21" t="s">
        <v>172</v>
      </c>
      <c r="AF21">
        <v>30</v>
      </c>
      <c r="AG21" t="s">
        <v>172</v>
      </c>
      <c r="AH21" s="30">
        <v>1</v>
      </c>
    </row>
    <row r="22" spans="1:34" x14ac:dyDescent="0.2">
      <c r="A22" t="s">
        <v>1141</v>
      </c>
      <c r="B22" t="s">
        <v>1142</v>
      </c>
      <c r="C22" t="s">
        <v>1143</v>
      </c>
      <c r="D22" t="s">
        <v>183</v>
      </c>
      <c r="E22">
        <v>34</v>
      </c>
      <c r="F22">
        <v>0</v>
      </c>
      <c r="G22" s="30">
        <v>0</v>
      </c>
      <c r="H22" s="30">
        <v>0</v>
      </c>
      <c r="I22">
        <v>50</v>
      </c>
      <c r="J22">
        <v>0</v>
      </c>
      <c r="K22" s="30">
        <v>0</v>
      </c>
      <c r="L22" s="30">
        <v>0</v>
      </c>
      <c r="M22" s="30">
        <v>0.97829999999999995</v>
      </c>
      <c r="N22" s="30">
        <v>0</v>
      </c>
      <c r="O22">
        <v>6</v>
      </c>
      <c r="P22">
        <v>0</v>
      </c>
      <c r="Q22" s="30">
        <v>0.17649999999999999</v>
      </c>
      <c r="R22" s="30">
        <v>0</v>
      </c>
      <c r="S22" s="31">
        <v>90</v>
      </c>
      <c r="T22" s="31">
        <v>0</v>
      </c>
      <c r="U22">
        <v>3</v>
      </c>
      <c r="V22">
        <v>0</v>
      </c>
      <c r="AA22" t="s">
        <v>183</v>
      </c>
      <c r="AB22">
        <v>6</v>
      </c>
      <c r="AC22" t="s">
        <v>183</v>
      </c>
      <c r="AD22" s="31">
        <v>90</v>
      </c>
      <c r="AE22" t="s">
        <v>183</v>
      </c>
      <c r="AF22">
        <v>34</v>
      </c>
      <c r="AG22" t="s">
        <v>183</v>
      </c>
      <c r="AH22" s="30">
        <v>0.97829999999999995</v>
      </c>
    </row>
    <row r="23" spans="1:34" x14ac:dyDescent="0.2">
      <c r="A23" t="s">
        <v>1141</v>
      </c>
      <c r="B23" t="s">
        <v>1144</v>
      </c>
      <c r="C23" t="s">
        <v>1853</v>
      </c>
      <c r="D23" t="s">
        <v>185</v>
      </c>
      <c r="E23">
        <v>50</v>
      </c>
      <c r="F23">
        <v>2</v>
      </c>
      <c r="G23" s="30">
        <v>0</v>
      </c>
      <c r="H23" s="30">
        <v>1E-4</v>
      </c>
      <c r="I23">
        <v>71</v>
      </c>
      <c r="J23">
        <v>2</v>
      </c>
      <c r="K23" s="30">
        <v>0</v>
      </c>
      <c r="L23" s="30">
        <v>1E-4</v>
      </c>
      <c r="M23" s="30">
        <v>0.98480000000000001</v>
      </c>
      <c r="N23" s="30">
        <v>0</v>
      </c>
      <c r="O23">
        <v>23</v>
      </c>
      <c r="P23">
        <v>0</v>
      </c>
      <c r="Q23" s="30">
        <v>0.46</v>
      </c>
      <c r="R23" s="30">
        <v>0</v>
      </c>
      <c r="S23" s="31">
        <v>345</v>
      </c>
      <c r="T23" s="31">
        <v>0</v>
      </c>
      <c r="U23">
        <v>11</v>
      </c>
      <c r="V23">
        <v>0</v>
      </c>
      <c r="AA23" t="s">
        <v>185</v>
      </c>
      <c r="AB23">
        <v>23</v>
      </c>
      <c r="AC23" t="s">
        <v>185</v>
      </c>
      <c r="AD23" s="31">
        <v>345</v>
      </c>
      <c r="AE23" t="s">
        <v>185</v>
      </c>
      <c r="AF23">
        <v>50</v>
      </c>
      <c r="AG23" t="s">
        <v>185</v>
      </c>
      <c r="AH23" s="30">
        <v>0.98480000000000001</v>
      </c>
    </row>
    <row r="24" spans="1:34" x14ac:dyDescent="0.2">
      <c r="A24" t="s">
        <v>1653</v>
      </c>
      <c r="B24" t="s">
        <v>1873</v>
      </c>
      <c r="C24" t="s">
        <v>1874</v>
      </c>
      <c r="D24" t="s">
        <v>243</v>
      </c>
      <c r="E24">
        <v>18</v>
      </c>
      <c r="F24">
        <v>1</v>
      </c>
      <c r="G24" s="30">
        <v>0</v>
      </c>
      <c r="H24" s="30">
        <v>0</v>
      </c>
      <c r="I24">
        <v>34</v>
      </c>
      <c r="J24">
        <v>1</v>
      </c>
      <c r="K24" s="30">
        <v>0</v>
      </c>
      <c r="L24" s="30">
        <v>0</v>
      </c>
      <c r="M24" s="30">
        <v>0.96879999999999999</v>
      </c>
      <c r="N24" s="30">
        <v>1</v>
      </c>
      <c r="O24">
        <v>11</v>
      </c>
      <c r="P24">
        <v>0</v>
      </c>
      <c r="Q24" s="30">
        <v>0.61109999999999998</v>
      </c>
      <c r="R24" s="30">
        <v>0</v>
      </c>
      <c r="S24" s="31">
        <v>219.89</v>
      </c>
      <c r="T24" s="31">
        <v>0</v>
      </c>
      <c r="U24">
        <v>1</v>
      </c>
      <c r="V24">
        <v>0</v>
      </c>
      <c r="AA24" t="s">
        <v>243</v>
      </c>
      <c r="AB24">
        <v>11</v>
      </c>
      <c r="AC24" t="s">
        <v>243</v>
      </c>
      <c r="AD24" s="31">
        <v>219.89</v>
      </c>
      <c r="AE24" t="s">
        <v>243</v>
      </c>
      <c r="AF24">
        <v>18</v>
      </c>
      <c r="AG24" t="s">
        <v>243</v>
      </c>
      <c r="AH24" s="30">
        <v>0.96879999999999999</v>
      </c>
    </row>
    <row r="25" spans="1:34" x14ac:dyDescent="0.2">
      <c r="A25" t="s">
        <v>2033</v>
      </c>
      <c r="B25" t="s">
        <v>2151</v>
      </c>
      <c r="C25" t="s">
        <v>2152</v>
      </c>
      <c r="D25" t="s">
        <v>994</v>
      </c>
      <c r="E25">
        <v>68</v>
      </c>
      <c r="F25">
        <v>1</v>
      </c>
      <c r="G25" s="30">
        <v>0</v>
      </c>
      <c r="H25" s="30">
        <v>0</v>
      </c>
      <c r="I25">
        <v>101</v>
      </c>
      <c r="J25">
        <v>1</v>
      </c>
      <c r="K25" s="30">
        <v>0</v>
      </c>
      <c r="L25" s="30">
        <v>0</v>
      </c>
      <c r="M25" s="30">
        <v>1</v>
      </c>
      <c r="N25" s="30">
        <v>0</v>
      </c>
      <c r="O25">
        <v>6</v>
      </c>
      <c r="P25">
        <v>0</v>
      </c>
      <c r="Q25" s="30">
        <v>8.8200000000000001E-2</v>
      </c>
      <c r="R25" s="30">
        <v>0</v>
      </c>
      <c r="S25" s="31">
        <v>126</v>
      </c>
      <c r="T25" s="31">
        <v>0</v>
      </c>
      <c r="U25">
        <v>4</v>
      </c>
      <c r="V25">
        <v>0</v>
      </c>
      <c r="AA25" t="s">
        <v>994</v>
      </c>
      <c r="AB25">
        <v>6</v>
      </c>
      <c r="AC25" t="s">
        <v>994</v>
      </c>
      <c r="AD25" s="31">
        <v>126</v>
      </c>
      <c r="AE25" t="s">
        <v>994</v>
      </c>
      <c r="AF25">
        <v>68</v>
      </c>
      <c r="AG25" t="s">
        <v>994</v>
      </c>
      <c r="AH25" s="30">
        <v>1</v>
      </c>
    </row>
    <row r="26" spans="1:34" x14ac:dyDescent="0.2">
      <c r="A26" t="s">
        <v>1955</v>
      </c>
      <c r="B26" t="s">
        <v>1956</v>
      </c>
      <c r="C26" t="s">
        <v>1957</v>
      </c>
      <c r="D26" t="s">
        <v>262</v>
      </c>
      <c r="E26">
        <v>62</v>
      </c>
      <c r="F26">
        <v>0</v>
      </c>
      <c r="G26" s="30">
        <v>0</v>
      </c>
      <c r="H26" s="30">
        <v>0</v>
      </c>
      <c r="I26">
        <v>84</v>
      </c>
      <c r="J26">
        <v>0</v>
      </c>
      <c r="K26" s="30">
        <v>0</v>
      </c>
      <c r="L26" s="30">
        <v>0</v>
      </c>
      <c r="M26" s="30">
        <v>0</v>
      </c>
      <c r="N26" s="30">
        <v>0</v>
      </c>
      <c r="O26">
        <v>9</v>
      </c>
      <c r="P26">
        <v>0</v>
      </c>
      <c r="Q26" s="30">
        <v>0.1452</v>
      </c>
      <c r="R26" s="30">
        <v>0</v>
      </c>
      <c r="S26" s="31">
        <v>171</v>
      </c>
      <c r="T26" s="31">
        <v>0</v>
      </c>
      <c r="U26">
        <v>4</v>
      </c>
      <c r="V26">
        <v>0</v>
      </c>
      <c r="AA26" t="s">
        <v>262</v>
      </c>
      <c r="AB26">
        <v>9</v>
      </c>
      <c r="AC26" t="s">
        <v>262</v>
      </c>
      <c r="AD26" s="31">
        <v>171</v>
      </c>
      <c r="AE26" t="s">
        <v>262</v>
      </c>
      <c r="AF26">
        <v>62</v>
      </c>
      <c r="AG26" t="s">
        <v>262</v>
      </c>
      <c r="AH26" s="30">
        <v>0</v>
      </c>
    </row>
    <row r="27" spans="1:34" x14ac:dyDescent="0.2">
      <c r="A27" t="s">
        <v>1912</v>
      </c>
      <c r="B27" t="s">
        <v>1149</v>
      </c>
      <c r="C27" t="s">
        <v>2017</v>
      </c>
      <c r="D27" t="s">
        <v>267</v>
      </c>
      <c r="E27">
        <v>29</v>
      </c>
      <c r="F27">
        <v>0</v>
      </c>
      <c r="G27" s="30">
        <v>0</v>
      </c>
      <c r="H27" s="30">
        <v>0</v>
      </c>
      <c r="I27">
        <v>43</v>
      </c>
      <c r="J27">
        <v>0</v>
      </c>
      <c r="K27" s="30">
        <v>0</v>
      </c>
      <c r="L27" s="30">
        <v>0</v>
      </c>
      <c r="M27" s="30">
        <v>1</v>
      </c>
      <c r="N27" s="30">
        <v>0</v>
      </c>
      <c r="O27">
        <v>13</v>
      </c>
      <c r="P27">
        <v>0</v>
      </c>
      <c r="Q27" s="30">
        <v>0.44829999999999998</v>
      </c>
      <c r="R27" s="30">
        <v>0</v>
      </c>
      <c r="S27" s="31">
        <v>143</v>
      </c>
      <c r="T27" s="31">
        <v>0</v>
      </c>
      <c r="U27">
        <v>7</v>
      </c>
      <c r="V27">
        <v>0</v>
      </c>
      <c r="AA27" t="s">
        <v>267</v>
      </c>
      <c r="AB27">
        <v>13</v>
      </c>
      <c r="AC27" t="s">
        <v>267</v>
      </c>
      <c r="AD27" s="31">
        <v>143</v>
      </c>
      <c r="AE27" t="s">
        <v>267</v>
      </c>
      <c r="AF27">
        <v>29</v>
      </c>
      <c r="AG27" t="s">
        <v>267</v>
      </c>
      <c r="AH27" s="30">
        <v>1</v>
      </c>
    </row>
    <row r="28" spans="1:34" x14ac:dyDescent="0.2">
      <c r="A28" t="s">
        <v>1912</v>
      </c>
      <c r="B28" t="s">
        <v>1150</v>
      </c>
      <c r="C28" t="s">
        <v>1990</v>
      </c>
      <c r="D28" t="s">
        <v>269</v>
      </c>
      <c r="E28">
        <v>36</v>
      </c>
      <c r="F28">
        <v>1</v>
      </c>
      <c r="G28" s="30">
        <v>0</v>
      </c>
      <c r="H28" s="30">
        <v>0</v>
      </c>
      <c r="I28">
        <v>42</v>
      </c>
      <c r="J28">
        <v>1</v>
      </c>
      <c r="K28" s="30">
        <v>0</v>
      </c>
      <c r="L28" s="30">
        <v>0</v>
      </c>
      <c r="M28" s="30">
        <v>1</v>
      </c>
      <c r="N28" s="30">
        <v>0</v>
      </c>
      <c r="O28">
        <v>2</v>
      </c>
      <c r="P28">
        <v>0</v>
      </c>
      <c r="Q28" s="30">
        <v>5.5599999999999997E-2</v>
      </c>
      <c r="R28" s="30">
        <v>0</v>
      </c>
      <c r="S28" s="31">
        <v>22</v>
      </c>
      <c r="T28" s="31">
        <v>0</v>
      </c>
      <c r="U28">
        <v>1</v>
      </c>
      <c r="V28">
        <v>0</v>
      </c>
      <c r="AA28" t="s">
        <v>269</v>
      </c>
      <c r="AB28">
        <v>2</v>
      </c>
      <c r="AC28" t="s">
        <v>269</v>
      </c>
      <c r="AD28" s="31">
        <v>22</v>
      </c>
      <c r="AE28" t="s">
        <v>269</v>
      </c>
      <c r="AF28">
        <v>36</v>
      </c>
      <c r="AG28" t="s">
        <v>269</v>
      </c>
      <c r="AH28" s="30">
        <v>1</v>
      </c>
    </row>
    <row r="29" spans="1:34" x14ac:dyDescent="0.2">
      <c r="A29" t="s">
        <v>1912</v>
      </c>
      <c r="B29" t="s">
        <v>2093</v>
      </c>
      <c r="C29" t="s">
        <v>2094</v>
      </c>
      <c r="D29" t="s">
        <v>273</v>
      </c>
      <c r="E29">
        <v>27</v>
      </c>
      <c r="F29">
        <v>0</v>
      </c>
      <c r="G29" s="30">
        <v>0</v>
      </c>
      <c r="H29" s="30">
        <v>0</v>
      </c>
      <c r="I29">
        <v>31</v>
      </c>
      <c r="J29">
        <v>0</v>
      </c>
      <c r="K29" s="30">
        <v>0</v>
      </c>
      <c r="L29" s="30">
        <v>0</v>
      </c>
      <c r="M29" s="30">
        <v>1</v>
      </c>
      <c r="N29" s="30">
        <v>0</v>
      </c>
      <c r="O29">
        <v>6</v>
      </c>
      <c r="P29">
        <v>0</v>
      </c>
      <c r="Q29" s="30">
        <v>0.22220000000000001</v>
      </c>
      <c r="R29" s="30">
        <v>0</v>
      </c>
      <c r="S29" s="31">
        <v>66</v>
      </c>
      <c r="T29" s="31">
        <v>0</v>
      </c>
      <c r="U29">
        <v>2</v>
      </c>
      <c r="V29">
        <v>0</v>
      </c>
      <c r="AA29" t="s">
        <v>273</v>
      </c>
      <c r="AB29">
        <v>6</v>
      </c>
      <c r="AC29" t="s">
        <v>273</v>
      </c>
      <c r="AD29" s="31">
        <v>66</v>
      </c>
      <c r="AE29" t="s">
        <v>273</v>
      </c>
      <c r="AF29">
        <v>27</v>
      </c>
      <c r="AG29" t="s">
        <v>273</v>
      </c>
      <c r="AH29" s="30">
        <v>1</v>
      </c>
    </row>
    <row r="30" spans="1:34" x14ac:dyDescent="0.2">
      <c r="A30" t="s">
        <v>1913</v>
      </c>
      <c r="B30" t="s">
        <v>1151</v>
      </c>
      <c r="C30" t="s">
        <v>1922</v>
      </c>
      <c r="D30" t="s">
        <v>285</v>
      </c>
      <c r="E30">
        <v>9</v>
      </c>
      <c r="F30">
        <v>0</v>
      </c>
      <c r="G30" s="30">
        <v>0</v>
      </c>
      <c r="H30" s="30">
        <v>0</v>
      </c>
      <c r="I30">
        <v>15</v>
      </c>
      <c r="J30">
        <v>0</v>
      </c>
      <c r="K30" s="30">
        <v>0</v>
      </c>
      <c r="L30" s="30">
        <v>0</v>
      </c>
      <c r="M30" s="30">
        <v>0.9</v>
      </c>
      <c r="N30" s="30">
        <v>0</v>
      </c>
      <c r="O30">
        <v>10</v>
      </c>
      <c r="P30">
        <v>0</v>
      </c>
      <c r="Q30" s="30">
        <v>1.1111</v>
      </c>
      <c r="R30" s="30">
        <v>0</v>
      </c>
      <c r="S30" s="31">
        <v>120</v>
      </c>
      <c r="T30" s="31">
        <v>0</v>
      </c>
      <c r="U30">
        <v>2</v>
      </c>
      <c r="V30">
        <v>0</v>
      </c>
      <c r="AA30" t="s">
        <v>285</v>
      </c>
      <c r="AB30">
        <v>10</v>
      </c>
      <c r="AC30" t="s">
        <v>285</v>
      </c>
      <c r="AD30" s="31">
        <v>120</v>
      </c>
      <c r="AE30" t="s">
        <v>285</v>
      </c>
      <c r="AF30">
        <v>9</v>
      </c>
      <c r="AG30" t="s">
        <v>285</v>
      </c>
      <c r="AH30" s="30">
        <v>0.9</v>
      </c>
    </row>
    <row r="31" spans="1:34" x14ac:dyDescent="0.2">
      <c r="A31" t="s">
        <v>2116</v>
      </c>
      <c r="B31" t="s">
        <v>2116</v>
      </c>
      <c r="C31" t="s">
        <v>2117</v>
      </c>
      <c r="D31" t="s">
        <v>287</v>
      </c>
      <c r="E31">
        <v>120</v>
      </c>
      <c r="F31">
        <v>2</v>
      </c>
      <c r="G31" s="30">
        <v>1E-4</v>
      </c>
      <c r="H31" s="30">
        <v>1E-4</v>
      </c>
      <c r="I31">
        <v>175</v>
      </c>
      <c r="J31">
        <v>2</v>
      </c>
      <c r="K31" s="30">
        <v>1E-4</v>
      </c>
      <c r="L31" s="30">
        <v>1E-4</v>
      </c>
      <c r="M31" s="30">
        <v>0.98129999999999995</v>
      </c>
      <c r="N31" s="30">
        <v>1</v>
      </c>
      <c r="O31">
        <v>21</v>
      </c>
      <c r="P31">
        <v>0</v>
      </c>
      <c r="Q31" s="30">
        <v>0.17499999999999999</v>
      </c>
      <c r="R31" s="30">
        <v>0</v>
      </c>
      <c r="S31" s="31">
        <v>252</v>
      </c>
      <c r="T31" s="31">
        <v>0</v>
      </c>
      <c r="U31">
        <v>10</v>
      </c>
      <c r="V31">
        <v>0</v>
      </c>
      <c r="AA31" t="s">
        <v>287</v>
      </c>
      <c r="AB31">
        <v>21</v>
      </c>
      <c r="AC31" t="s">
        <v>287</v>
      </c>
      <c r="AD31" s="31">
        <v>252</v>
      </c>
      <c r="AE31" t="s">
        <v>287</v>
      </c>
      <c r="AF31">
        <v>120</v>
      </c>
      <c r="AG31" t="s">
        <v>287</v>
      </c>
      <c r="AH31" s="30">
        <v>0.98129999999999995</v>
      </c>
    </row>
    <row r="32" spans="1:34" x14ac:dyDescent="0.2">
      <c r="A32" t="s">
        <v>1913</v>
      </c>
      <c r="B32" t="s">
        <v>2185</v>
      </c>
      <c r="C32" t="s">
        <v>2186</v>
      </c>
      <c r="D32" t="s">
        <v>289</v>
      </c>
      <c r="E32">
        <v>43</v>
      </c>
      <c r="F32">
        <v>0</v>
      </c>
      <c r="G32" s="30">
        <v>0</v>
      </c>
      <c r="H32" s="30">
        <v>0</v>
      </c>
      <c r="I32">
        <v>58</v>
      </c>
      <c r="J32">
        <v>0</v>
      </c>
      <c r="K32" s="30">
        <v>0</v>
      </c>
      <c r="L32" s="30">
        <v>0</v>
      </c>
      <c r="M32" s="30">
        <v>0.96879999999999999</v>
      </c>
      <c r="N32" s="30">
        <v>0</v>
      </c>
      <c r="O32">
        <v>15</v>
      </c>
      <c r="P32">
        <v>0</v>
      </c>
      <c r="Q32" s="30">
        <v>0.3488</v>
      </c>
      <c r="R32" s="30">
        <v>0</v>
      </c>
      <c r="S32" s="31">
        <v>180</v>
      </c>
      <c r="T32" s="31">
        <v>0</v>
      </c>
      <c r="U32">
        <v>5</v>
      </c>
      <c r="V32">
        <v>0</v>
      </c>
      <c r="AA32" t="s">
        <v>289</v>
      </c>
      <c r="AB32">
        <v>15</v>
      </c>
      <c r="AC32" t="s">
        <v>289</v>
      </c>
      <c r="AD32" s="31">
        <v>180</v>
      </c>
      <c r="AE32" t="s">
        <v>289</v>
      </c>
      <c r="AF32">
        <v>43</v>
      </c>
      <c r="AG32" t="s">
        <v>289</v>
      </c>
      <c r="AH32" s="30">
        <v>0.96879999999999999</v>
      </c>
    </row>
    <row r="33" spans="1:34" x14ac:dyDescent="0.2">
      <c r="A33" t="s">
        <v>2187</v>
      </c>
      <c r="B33" t="s">
        <v>2187</v>
      </c>
      <c r="C33" t="s">
        <v>2188</v>
      </c>
      <c r="D33" t="s">
        <v>294</v>
      </c>
      <c r="E33">
        <v>14</v>
      </c>
      <c r="F33">
        <v>1</v>
      </c>
      <c r="G33" s="30">
        <v>0</v>
      </c>
      <c r="H33" s="30">
        <v>0</v>
      </c>
      <c r="I33">
        <v>18</v>
      </c>
      <c r="J33">
        <v>1</v>
      </c>
      <c r="K33" s="30">
        <v>0</v>
      </c>
      <c r="L33" s="30">
        <v>0</v>
      </c>
      <c r="M33" s="30">
        <v>0.28570000000000001</v>
      </c>
      <c r="N33" s="30">
        <v>0</v>
      </c>
      <c r="O33">
        <v>4</v>
      </c>
      <c r="P33">
        <v>0</v>
      </c>
      <c r="Q33" s="30">
        <v>0.28570000000000001</v>
      </c>
      <c r="R33" s="30">
        <v>0</v>
      </c>
      <c r="S33" s="31">
        <v>76</v>
      </c>
      <c r="T33" s="31">
        <v>0</v>
      </c>
      <c r="U33">
        <v>1</v>
      </c>
      <c r="V33">
        <v>0</v>
      </c>
      <c r="AA33" t="s">
        <v>294</v>
      </c>
      <c r="AB33">
        <v>4</v>
      </c>
      <c r="AC33" t="s">
        <v>294</v>
      </c>
      <c r="AD33" s="31">
        <v>76</v>
      </c>
      <c r="AE33" t="s">
        <v>294</v>
      </c>
      <c r="AF33">
        <v>14</v>
      </c>
      <c r="AG33" t="s">
        <v>294</v>
      </c>
      <c r="AH33" s="30">
        <v>0.28570000000000001</v>
      </c>
    </row>
    <row r="34" spans="1:34" x14ac:dyDescent="0.2">
      <c r="A34" t="s">
        <v>1155</v>
      </c>
      <c r="B34" t="s">
        <v>1156</v>
      </c>
      <c r="C34" t="s">
        <v>1879</v>
      </c>
      <c r="D34" t="s">
        <v>318</v>
      </c>
      <c r="E34">
        <v>110</v>
      </c>
      <c r="F34">
        <v>2</v>
      </c>
      <c r="G34" s="30">
        <v>1E-4</v>
      </c>
      <c r="H34" s="30">
        <v>1E-4</v>
      </c>
      <c r="I34">
        <v>160</v>
      </c>
      <c r="J34">
        <v>4</v>
      </c>
      <c r="K34" s="30">
        <v>1E-4</v>
      </c>
      <c r="L34" s="30">
        <v>1E-4</v>
      </c>
      <c r="M34" s="30">
        <v>0.8296</v>
      </c>
      <c r="N34" s="30">
        <v>0.25</v>
      </c>
      <c r="O34">
        <v>2</v>
      </c>
      <c r="P34">
        <v>0</v>
      </c>
      <c r="Q34" s="30">
        <v>1.8200000000000001E-2</v>
      </c>
      <c r="R34" s="30">
        <v>0</v>
      </c>
      <c r="S34" s="31">
        <v>39.979999999999997</v>
      </c>
      <c r="T34" s="31">
        <v>0</v>
      </c>
      <c r="U34">
        <v>1</v>
      </c>
      <c r="V34">
        <v>0</v>
      </c>
      <c r="AA34" t="s">
        <v>318</v>
      </c>
      <c r="AB34">
        <v>2</v>
      </c>
      <c r="AC34" t="s">
        <v>318</v>
      </c>
      <c r="AD34" s="31">
        <v>39.979999999999997</v>
      </c>
      <c r="AE34" t="s">
        <v>318</v>
      </c>
      <c r="AF34">
        <v>110</v>
      </c>
      <c r="AG34" t="s">
        <v>318</v>
      </c>
      <c r="AH34" s="30">
        <v>0.8296</v>
      </c>
    </row>
    <row r="35" spans="1:34" x14ac:dyDescent="0.2">
      <c r="A35" t="s">
        <v>1157</v>
      </c>
      <c r="B35" t="s">
        <v>2189</v>
      </c>
      <c r="C35" t="s">
        <v>2190</v>
      </c>
      <c r="D35" t="s">
        <v>354</v>
      </c>
      <c r="E35">
        <v>70</v>
      </c>
      <c r="F35">
        <v>2</v>
      </c>
      <c r="G35" s="30">
        <v>0</v>
      </c>
      <c r="H35" s="30">
        <v>1E-4</v>
      </c>
      <c r="I35">
        <v>104</v>
      </c>
      <c r="J35">
        <v>2</v>
      </c>
      <c r="K35" s="30">
        <v>0</v>
      </c>
      <c r="L35" s="30">
        <v>1E-4</v>
      </c>
      <c r="M35" s="30">
        <v>2.1100000000000001E-2</v>
      </c>
      <c r="N35" s="30">
        <v>0</v>
      </c>
      <c r="O35">
        <v>1</v>
      </c>
      <c r="P35">
        <v>0</v>
      </c>
      <c r="Q35" s="30">
        <v>1.43E-2</v>
      </c>
      <c r="R35" s="30">
        <v>0</v>
      </c>
      <c r="S35" s="31">
        <v>25.99</v>
      </c>
      <c r="T35" s="31">
        <v>0</v>
      </c>
      <c r="U35">
        <v>1</v>
      </c>
      <c r="V35">
        <v>0</v>
      </c>
      <c r="AA35" t="s">
        <v>354</v>
      </c>
      <c r="AB35">
        <v>1</v>
      </c>
      <c r="AC35" t="s">
        <v>354</v>
      </c>
      <c r="AD35" s="31">
        <v>25.99</v>
      </c>
      <c r="AE35" t="s">
        <v>354</v>
      </c>
      <c r="AF35">
        <v>70</v>
      </c>
      <c r="AG35" t="s">
        <v>354</v>
      </c>
      <c r="AH35" s="30">
        <v>2.1100000000000001E-2</v>
      </c>
    </row>
    <row r="36" spans="1:34" x14ac:dyDescent="0.2">
      <c r="A36" t="s">
        <v>2034</v>
      </c>
      <c r="B36" t="s">
        <v>2034</v>
      </c>
      <c r="C36" t="s">
        <v>2035</v>
      </c>
      <c r="D36" t="s">
        <v>426</v>
      </c>
      <c r="E36">
        <v>19</v>
      </c>
      <c r="F36">
        <v>0</v>
      </c>
      <c r="G36" s="30">
        <v>0</v>
      </c>
      <c r="H36" s="30">
        <v>0</v>
      </c>
      <c r="I36">
        <v>27</v>
      </c>
      <c r="J36">
        <v>0</v>
      </c>
      <c r="K36" s="30">
        <v>0</v>
      </c>
      <c r="L36" s="30">
        <v>0</v>
      </c>
      <c r="M36" s="30">
        <v>0.76190000000000002</v>
      </c>
      <c r="N36" s="30">
        <v>0</v>
      </c>
      <c r="O36">
        <v>7</v>
      </c>
      <c r="P36">
        <v>0</v>
      </c>
      <c r="Q36" s="30">
        <v>0.36840000000000001</v>
      </c>
      <c r="R36" s="30">
        <v>0</v>
      </c>
      <c r="S36" s="31">
        <v>119</v>
      </c>
      <c r="T36" s="31">
        <v>0</v>
      </c>
      <c r="U36">
        <v>2</v>
      </c>
      <c r="V36">
        <v>0</v>
      </c>
      <c r="AA36" t="s">
        <v>426</v>
      </c>
      <c r="AB36">
        <v>7</v>
      </c>
      <c r="AC36" t="s">
        <v>426</v>
      </c>
      <c r="AD36" s="31">
        <v>119</v>
      </c>
      <c r="AE36" t="s">
        <v>426</v>
      </c>
      <c r="AF36">
        <v>19</v>
      </c>
      <c r="AG36" t="s">
        <v>426</v>
      </c>
      <c r="AH36" s="30">
        <v>0.76190000000000002</v>
      </c>
    </row>
    <row r="37" spans="1:34" x14ac:dyDescent="0.2">
      <c r="A37" t="s">
        <v>1715</v>
      </c>
      <c r="B37" t="s">
        <v>2038</v>
      </c>
      <c r="C37" t="s">
        <v>2039</v>
      </c>
      <c r="D37" t="s">
        <v>986</v>
      </c>
      <c r="E37">
        <v>14</v>
      </c>
      <c r="F37">
        <v>1</v>
      </c>
      <c r="G37" s="30">
        <v>0</v>
      </c>
      <c r="H37" s="30">
        <v>0</v>
      </c>
      <c r="I37">
        <v>17</v>
      </c>
      <c r="J37">
        <v>1</v>
      </c>
      <c r="K37" s="30">
        <v>0</v>
      </c>
      <c r="L37" s="30">
        <v>0</v>
      </c>
      <c r="M37" s="30">
        <v>1</v>
      </c>
      <c r="N37" s="30">
        <v>1</v>
      </c>
      <c r="O37">
        <v>1</v>
      </c>
      <c r="P37">
        <v>0</v>
      </c>
      <c r="Q37" s="30">
        <v>7.1400000000000005E-2</v>
      </c>
      <c r="R37" s="30">
        <v>0</v>
      </c>
      <c r="S37" s="31">
        <v>21</v>
      </c>
      <c r="T37" s="31">
        <v>0</v>
      </c>
      <c r="U37">
        <v>1</v>
      </c>
      <c r="V37">
        <v>0</v>
      </c>
      <c r="AA37" t="s">
        <v>986</v>
      </c>
      <c r="AB37">
        <v>1</v>
      </c>
      <c r="AC37" t="s">
        <v>986</v>
      </c>
      <c r="AD37" s="31">
        <v>21</v>
      </c>
      <c r="AE37" t="s">
        <v>986</v>
      </c>
      <c r="AF37">
        <v>14</v>
      </c>
      <c r="AG37" t="s">
        <v>986</v>
      </c>
      <c r="AH37" s="30">
        <v>1</v>
      </c>
    </row>
    <row r="38" spans="1:34" x14ac:dyDescent="0.2">
      <c r="A38" t="s">
        <v>1715</v>
      </c>
      <c r="B38" t="s">
        <v>2191</v>
      </c>
      <c r="C38" t="s">
        <v>2192</v>
      </c>
      <c r="D38" t="s">
        <v>987</v>
      </c>
      <c r="E38">
        <v>3</v>
      </c>
      <c r="F38">
        <v>0</v>
      </c>
      <c r="G38" s="30">
        <v>0</v>
      </c>
      <c r="H38" s="30">
        <v>0</v>
      </c>
      <c r="I38">
        <v>8</v>
      </c>
      <c r="J38">
        <v>0</v>
      </c>
      <c r="K38" s="30">
        <v>0</v>
      </c>
      <c r="L38" s="30">
        <v>0</v>
      </c>
      <c r="M38" s="30">
        <v>1</v>
      </c>
      <c r="N38" s="30">
        <v>0</v>
      </c>
      <c r="O38">
        <v>1</v>
      </c>
      <c r="P38">
        <v>0</v>
      </c>
      <c r="Q38" s="30">
        <v>0.33329999999999999</v>
      </c>
      <c r="R38" s="30">
        <v>0</v>
      </c>
      <c r="S38" s="31">
        <v>21</v>
      </c>
      <c r="T38" s="31">
        <v>0</v>
      </c>
      <c r="U38">
        <v>1</v>
      </c>
      <c r="V38">
        <v>0</v>
      </c>
      <c r="AA38" t="s">
        <v>987</v>
      </c>
      <c r="AB38">
        <v>1</v>
      </c>
      <c r="AC38" t="s">
        <v>987</v>
      </c>
      <c r="AD38" s="31">
        <v>21</v>
      </c>
      <c r="AE38" t="s">
        <v>987</v>
      </c>
      <c r="AF38">
        <v>3</v>
      </c>
      <c r="AG38" t="s">
        <v>987</v>
      </c>
      <c r="AH38" s="30">
        <v>1</v>
      </c>
    </row>
    <row r="39" spans="1:34" x14ac:dyDescent="0.2">
      <c r="A39" t="s">
        <v>1900</v>
      </c>
      <c r="B39" t="s">
        <v>1200</v>
      </c>
      <c r="C39" t="s">
        <v>1971</v>
      </c>
      <c r="D39" t="s">
        <v>445</v>
      </c>
      <c r="E39">
        <v>45</v>
      </c>
      <c r="F39">
        <v>1</v>
      </c>
      <c r="G39" s="30">
        <v>0</v>
      </c>
      <c r="H39" s="30">
        <v>0</v>
      </c>
      <c r="I39">
        <v>55</v>
      </c>
      <c r="J39">
        <v>2</v>
      </c>
      <c r="K39" s="30">
        <v>0</v>
      </c>
      <c r="L39" s="30">
        <v>1E-4</v>
      </c>
      <c r="M39" s="30">
        <v>0.95240000000000002</v>
      </c>
      <c r="N39" s="30">
        <v>0.4</v>
      </c>
      <c r="O39">
        <v>1</v>
      </c>
      <c r="P39">
        <v>0</v>
      </c>
      <c r="Q39" s="30">
        <v>2.2200000000000001E-2</v>
      </c>
      <c r="R39" s="30">
        <v>0</v>
      </c>
      <c r="S39" s="31">
        <v>20.99</v>
      </c>
      <c r="T39" s="31">
        <v>0</v>
      </c>
      <c r="U39">
        <v>1</v>
      </c>
      <c r="V39">
        <v>0</v>
      </c>
      <c r="AA39" t="s">
        <v>445</v>
      </c>
      <c r="AB39">
        <v>1</v>
      </c>
      <c r="AC39" t="s">
        <v>445</v>
      </c>
      <c r="AD39" s="31">
        <v>20.99</v>
      </c>
      <c r="AE39" t="s">
        <v>445</v>
      </c>
      <c r="AF39">
        <v>45</v>
      </c>
      <c r="AG39" t="s">
        <v>445</v>
      </c>
      <c r="AH39" s="30">
        <v>0.95240000000000002</v>
      </c>
    </row>
    <row r="40" spans="1:34" x14ac:dyDescent="0.2">
      <c r="A40" t="s">
        <v>1714</v>
      </c>
      <c r="B40" t="s">
        <v>1962</v>
      </c>
      <c r="C40" t="s">
        <v>2012</v>
      </c>
      <c r="D40" t="s">
        <v>447</v>
      </c>
      <c r="E40">
        <v>31</v>
      </c>
      <c r="F40">
        <v>1</v>
      </c>
      <c r="G40" s="30">
        <v>0</v>
      </c>
      <c r="H40" s="30">
        <v>0</v>
      </c>
      <c r="I40">
        <v>43</v>
      </c>
      <c r="J40">
        <v>1</v>
      </c>
      <c r="K40" s="30">
        <v>0</v>
      </c>
      <c r="L40" s="30">
        <v>0</v>
      </c>
      <c r="M40" s="30">
        <v>1</v>
      </c>
      <c r="N40" s="30">
        <v>0</v>
      </c>
      <c r="O40">
        <v>1</v>
      </c>
      <c r="P40">
        <v>0</v>
      </c>
      <c r="Q40" s="30">
        <v>3.2300000000000002E-2</v>
      </c>
      <c r="R40" s="30">
        <v>0</v>
      </c>
      <c r="S40" s="31">
        <v>16</v>
      </c>
      <c r="T40" s="31">
        <v>0</v>
      </c>
      <c r="U40">
        <v>1</v>
      </c>
      <c r="V40">
        <v>0</v>
      </c>
      <c r="AA40" t="s">
        <v>447</v>
      </c>
      <c r="AB40">
        <v>1</v>
      </c>
      <c r="AC40" t="s">
        <v>447</v>
      </c>
      <c r="AD40" s="31">
        <v>16</v>
      </c>
      <c r="AE40" t="s">
        <v>447</v>
      </c>
      <c r="AF40">
        <v>31</v>
      </c>
      <c r="AG40" t="s">
        <v>447</v>
      </c>
      <c r="AH40" s="30">
        <v>1</v>
      </c>
    </row>
    <row r="41" spans="1:34" x14ac:dyDescent="0.2">
      <c r="A41" t="s">
        <v>2153</v>
      </c>
      <c r="B41" t="s">
        <v>2154</v>
      </c>
      <c r="C41" t="s">
        <v>2155</v>
      </c>
      <c r="D41" t="s">
        <v>496</v>
      </c>
      <c r="E41">
        <v>17</v>
      </c>
      <c r="F41">
        <v>0</v>
      </c>
      <c r="G41" s="30">
        <v>0</v>
      </c>
      <c r="H41" s="30">
        <v>0</v>
      </c>
      <c r="I41">
        <v>24</v>
      </c>
      <c r="J41">
        <v>0</v>
      </c>
      <c r="K41" s="30">
        <v>0</v>
      </c>
      <c r="L41" s="30">
        <v>0</v>
      </c>
      <c r="M41" s="30">
        <v>0.90910000000000002</v>
      </c>
      <c r="N41" s="30">
        <v>0</v>
      </c>
      <c r="O41">
        <v>4</v>
      </c>
      <c r="P41">
        <v>0</v>
      </c>
      <c r="Q41" s="30">
        <v>0.23530000000000001</v>
      </c>
      <c r="R41" s="30">
        <v>0</v>
      </c>
      <c r="S41" s="31">
        <v>60</v>
      </c>
      <c r="T41" s="31">
        <v>0</v>
      </c>
      <c r="U41">
        <v>2</v>
      </c>
      <c r="V41">
        <v>0</v>
      </c>
      <c r="AA41" t="s">
        <v>496</v>
      </c>
      <c r="AB41">
        <v>4</v>
      </c>
      <c r="AC41" t="s">
        <v>496</v>
      </c>
      <c r="AD41" s="31">
        <v>60</v>
      </c>
      <c r="AE41" t="s">
        <v>496</v>
      </c>
      <c r="AF41">
        <v>17</v>
      </c>
      <c r="AG41" t="s">
        <v>496</v>
      </c>
      <c r="AH41" s="30">
        <v>0.90910000000000002</v>
      </c>
    </row>
    <row r="42" spans="1:34" x14ac:dyDescent="0.2">
      <c r="A42" t="s">
        <v>1854</v>
      </c>
      <c r="B42" t="s">
        <v>1159</v>
      </c>
      <c r="C42" t="s">
        <v>1855</v>
      </c>
      <c r="D42" t="s">
        <v>499</v>
      </c>
      <c r="E42">
        <v>118</v>
      </c>
      <c r="F42">
        <v>1</v>
      </c>
      <c r="G42" s="30">
        <v>1E-4</v>
      </c>
      <c r="H42" s="30">
        <v>0</v>
      </c>
      <c r="I42">
        <v>163</v>
      </c>
      <c r="J42">
        <v>1</v>
      </c>
      <c r="K42" s="30">
        <v>1E-4</v>
      </c>
      <c r="L42" s="30">
        <v>0</v>
      </c>
      <c r="M42" s="30">
        <v>0.98670000000000002</v>
      </c>
      <c r="N42" s="30">
        <v>0</v>
      </c>
      <c r="O42">
        <v>13</v>
      </c>
      <c r="P42">
        <v>0</v>
      </c>
      <c r="Q42" s="30">
        <v>0.11020000000000001</v>
      </c>
      <c r="R42" s="30">
        <v>0</v>
      </c>
      <c r="S42" s="31">
        <v>195</v>
      </c>
      <c r="T42" s="31">
        <v>0</v>
      </c>
      <c r="U42">
        <v>6</v>
      </c>
      <c r="V42">
        <v>0</v>
      </c>
      <c r="AA42" t="s">
        <v>499</v>
      </c>
      <c r="AB42">
        <v>13</v>
      </c>
      <c r="AC42" t="s">
        <v>499</v>
      </c>
      <c r="AD42" s="31">
        <v>195</v>
      </c>
      <c r="AE42" t="s">
        <v>499</v>
      </c>
      <c r="AF42">
        <v>118</v>
      </c>
      <c r="AG42" t="s">
        <v>499</v>
      </c>
      <c r="AH42" s="30">
        <v>0.98670000000000002</v>
      </c>
    </row>
    <row r="43" spans="1:34" x14ac:dyDescent="0.2">
      <c r="A43" t="s">
        <v>2156</v>
      </c>
      <c r="B43" t="s">
        <v>2193</v>
      </c>
      <c r="C43" t="s">
        <v>2194</v>
      </c>
      <c r="D43" t="s">
        <v>515</v>
      </c>
      <c r="E43">
        <v>38</v>
      </c>
      <c r="F43">
        <v>1</v>
      </c>
      <c r="G43" s="30">
        <v>0</v>
      </c>
      <c r="H43" s="30">
        <v>0</v>
      </c>
      <c r="I43">
        <v>47</v>
      </c>
      <c r="J43">
        <v>1</v>
      </c>
      <c r="K43" s="30">
        <v>0</v>
      </c>
      <c r="L43" s="30">
        <v>0</v>
      </c>
      <c r="M43" s="30">
        <v>1</v>
      </c>
      <c r="N43" s="30">
        <v>0</v>
      </c>
      <c r="O43">
        <v>9</v>
      </c>
      <c r="P43">
        <v>0</v>
      </c>
      <c r="Q43" s="30">
        <v>0.23680000000000001</v>
      </c>
      <c r="R43" s="30">
        <v>0</v>
      </c>
      <c r="S43" s="31">
        <v>144</v>
      </c>
      <c r="T43" s="31">
        <v>0</v>
      </c>
      <c r="U43">
        <v>4</v>
      </c>
      <c r="V43">
        <v>0</v>
      </c>
      <c r="AA43" t="s">
        <v>515</v>
      </c>
      <c r="AB43">
        <v>9</v>
      </c>
      <c r="AC43" t="s">
        <v>515</v>
      </c>
      <c r="AD43" s="31">
        <v>144</v>
      </c>
      <c r="AE43" t="s">
        <v>515</v>
      </c>
      <c r="AF43">
        <v>38</v>
      </c>
      <c r="AG43" t="s">
        <v>515</v>
      </c>
      <c r="AH43" s="30">
        <v>1</v>
      </c>
    </row>
    <row r="44" spans="1:34" x14ac:dyDescent="0.2">
      <c r="A44" t="s">
        <v>1160</v>
      </c>
      <c r="B44" t="s">
        <v>2157</v>
      </c>
      <c r="C44" t="s">
        <v>2158</v>
      </c>
      <c r="D44" t="s">
        <v>519</v>
      </c>
      <c r="E44">
        <v>69</v>
      </c>
      <c r="F44">
        <v>3</v>
      </c>
      <c r="G44" s="30">
        <v>0</v>
      </c>
      <c r="H44" s="30">
        <v>1E-4</v>
      </c>
      <c r="I44">
        <v>86</v>
      </c>
      <c r="J44">
        <v>3</v>
      </c>
      <c r="K44" s="30">
        <v>0</v>
      </c>
      <c r="L44" s="30">
        <v>1E-4</v>
      </c>
      <c r="M44" s="30">
        <v>1</v>
      </c>
      <c r="N44" s="30">
        <v>1</v>
      </c>
      <c r="O44">
        <v>7</v>
      </c>
      <c r="P44">
        <v>0</v>
      </c>
      <c r="Q44" s="30">
        <v>0.1014</v>
      </c>
      <c r="R44" s="30">
        <v>0</v>
      </c>
      <c r="S44" s="31">
        <v>112</v>
      </c>
      <c r="T44" s="31">
        <v>0</v>
      </c>
      <c r="U44">
        <v>5</v>
      </c>
      <c r="V44">
        <v>0</v>
      </c>
      <c r="AA44" t="s">
        <v>519</v>
      </c>
      <c r="AB44">
        <v>7</v>
      </c>
      <c r="AC44" t="s">
        <v>519</v>
      </c>
      <c r="AD44" s="31">
        <v>112</v>
      </c>
      <c r="AE44" t="s">
        <v>519</v>
      </c>
      <c r="AF44">
        <v>69</v>
      </c>
      <c r="AG44" t="s">
        <v>519</v>
      </c>
      <c r="AH44" s="30">
        <v>1</v>
      </c>
    </row>
    <row r="45" spans="1:34" x14ac:dyDescent="0.2">
      <c r="A45" t="s">
        <v>1160</v>
      </c>
      <c r="B45" t="s">
        <v>1161</v>
      </c>
      <c r="C45" t="s">
        <v>1870</v>
      </c>
      <c r="D45" t="s">
        <v>523</v>
      </c>
      <c r="E45">
        <v>49</v>
      </c>
      <c r="F45">
        <v>1</v>
      </c>
      <c r="G45" s="30">
        <v>0</v>
      </c>
      <c r="H45" s="30">
        <v>0</v>
      </c>
      <c r="I45">
        <v>61</v>
      </c>
      <c r="J45">
        <v>1</v>
      </c>
      <c r="K45" s="30">
        <v>0</v>
      </c>
      <c r="L45" s="30">
        <v>0</v>
      </c>
      <c r="M45" s="30">
        <v>1</v>
      </c>
      <c r="N45" s="30">
        <v>1</v>
      </c>
      <c r="O45">
        <v>2</v>
      </c>
      <c r="P45">
        <v>0</v>
      </c>
      <c r="Q45" s="30">
        <v>4.0800000000000003E-2</v>
      </c>
      <c r="R45" s="30">
        <v>0</v>
      </c>
      <c r="S45" s="31">
        <v>32</v>
      </c>
      <c r="T45" s="31">
        <v>0</v>
      </c>
      <c r="U45">
        <v>2</v>
      </c>
      <c r="V45">
        <v>0</v>
      </c>
      <c r="AA45" t="s">
        <v>523</v>
      </c>
      <c r="AB45">
        <v>2</v>
      </c>
      <c r="AC45" t="s">
        <v>523</v>
      </c>
      <c r="AD45" s="31">
        <v>32</v>
      </c>
      <c r="AE45" t="s">
        <v>523</v>
      </c>
      <c r="AF45">
        <v>49</v>
      </c>
      <c r="AG45" t="s">
        <v>523</v>
      </c>
      <c r="AH45" s="30">
        <v>1</v>
      </c>
    </row>
    <row r="46" spans="1:34" x14ac:dyDescent="0.2">
      <c r="A46" t="s">
        <v>1160</v>
      </c>
      <c r="B46" t="s">
        <v>2195</v>
      </c>
      <c r="C46" t="s">
        <v>2196</v>
      </c>
      <c r="D46" t="s">
        <v>525</v>
      </c>
      <c r="E46">
        <v>14</v>
      </c>
      <c r="F46">
        <v>0</v>
      </c>
      <c r="G46" s="30">
        <v>0</v>
      </c>
      <c r="H46" s="30">
        <v>0</v>
      </c>
      <c r="I46">
        <v>17</v>
      </c>
      <c r="J46">
        <v>0</v>
      </c>
      <c r="K46" s="30">
        <v>0</v>
      </c>
      <c r="L46" s="30">
        <v>0</v>
      </c>
      <c r="M46" s="30">
        <v>1</v>
      </c>
      <c r="N46" s="30">
        <v>0</v>
      </c>
      <c r="O46">
        <v>3</v>
      </c>
      <c r="P46">
        <v>0</v>
      </c>
      <c r="Q46" s="30">
        <v>0.21429999999999999</v>
      </c>
      <c r="R46" s="30">
        <v>0</v>
      </c>
      <c r="S46" s="31">
        <v>48</v>
      </c>
      <c r="T46" s="31">
        <v>0</v>
      </c>
      <c r="U46">
        <v>2</v>
      </c>
      <c r="V46">
        <v>0</v>
      </c>
      <c r="AA46" t="s">
        <v>525</v>
      </c>
      <c r="AB46">
        <v>3</v>
      </c>
      <c r="AC46" t="s">
        <v>525</v>
      </c>
      <c r="AD46" s="31">
        <v>48</v>
      </c>
      <c r="AE46" t="s">
        <v>525</v>
      </c>
      <c r="AF46">
        <v>14</v>
      </c>
      <c r="AG46" t="s">
        <v>525</v>
      </c>
      <c r="AH46" s="30">
        <v>1</v>
      </c>
    </row>
    <row r="47" spans="1:34" x14ac:dyDescent="0.2">
      <c r="A47" t="s">
        <v>1160</v>
      </c>
      <c r="B47" t="s">
        <v>1162</v>
      </c>
      <c r="C47" t="s">
        <v>1914</v>
      </c>
      <c r="D47" t="s">
        <v>527</v>
      </c>
      <c r="E47">
        <v>105</v>
      </c>
      <c r="F47">
        <v>2</v>
      </c>
      <c r="G47" s="30">
        <v>1E-4</v>
      </c>
      <c r="H47" s="30">
        <v>1E-4</v>
      </c>
      <c r="I47">
        <v>145</v>
      </c>
      <c r="J47">
        <v>5</v>
      </c>
      <c r="K47" s="30">
        <v>1E-4</v>
      </c>
      <c r="L47" s="30">
        <v>2.0000000000000001E-4</v>
      </c>
      <c r="M47" s="30">
        <v>1</v>
      </c>
      <c r="N47" s="30">
        <v>1</v>
      </c>
      <c r="O47">
        <v>7</v>
      </c>
      <c r="P47">
        <v>0</v>
      </c>
      <c r="Q47" s="30">
        <v>6.6699999999999995E-2</v>
      </c>
      <c r="R47" s="30">
        <v>0</v>
      </c>
      <c r="S47" s="31">
        <v>112</v>
      </c>
      <c r="T47" s="31">
        <v>0</v>
      </c>
      <c r="U47">
        <v>5</v>
      </c>
      <c r="V47">
        <v>0</v>
      </c>
      <c r="AA47" t="s">
        <v>527</v>
      </c>
      <c r="AB47">
        <v>7</v>
      </c>
      <c r="AC47" t="s">
        <v>527</v>
      </c>
      <c r="AD47" s="31">
        <v>112</v>
      </c>
      <c r="AE47" t="s">
        <v>527</v>
      </c>
      <c r="AF47">
        <v>105</v>
      </c>
      <c r="AG47" t="s">
        <v>527</v>
      </c>
      <c r="AH47" s="30">
        <v>1</v>
      </c>
    </row>
    <row r="48" spans="1:34" x14ac:dyDescent="0.2">
      <c r="A48" t="s">
        <v>1160</v>
      </c>
      <c r="B48" t="s">
        <v>2042</v>
      </c>
      <c r="C48" t="s">
        <v>2043</v>
      </c>
      <c r="D48" t="s">
        <v>530</v>
      </c>
      <c r="E48">
        <v>53</v>
      </c>
      <c r="F48">
        <v>0</v>
      </c>
      <c r="G48" s="30">
        <v>0</v>
      </c>
      <c r="H48" s="30">
        <v>0</v>
      </c>
      <c r="I48">
        <v>69</v>
      </c>
      <c r="J48">
        <v>0</v>
      </c>
      <c r="K48" s="30">
        <v>0</v>
      </c>
      <c r="L48" s="30">
        <v>0</v>
      </c>
      <c r="M48" s="30">
        <v>1</v>
      </c>
      <c r="N48" s="30">
        <v>0</v>
      </c>
      <c r="O48">
        <v>3</v>
      </c>
      <c r="P48">
        <v>0</v>
      </c>
      <c r="Q48" s="30">
        <v>5.6599999999999998E-2</v>
      </c>
      <c r="R48" s="30">
        <v>0</v>
      </c>
      <c r="S48" s="31">
        <v>48</v>
      </c>
      <c r="T48" s="31">
        <v>0</v>
      </c>
      <c r="U48">
        <v>3</v>
      </c>
      <c r="V48">
        <v>0</v>
      </c>
      <c r="AA48" t="s">
        <v>530</v>
      </c>
      <c r="AB48">
        <v>3</v>
      </c>
      <c r="AC48" t="s">
        <v>530</v>
      </c>
      <c r="AD48" s="31">
        <v>48</v>
      </c>
      <c r="AE48" t="s">
        <v>530</v>
      </c>
      <c r="AF48">
        <v>53</v>
      </c>
      <c r="AG48" t="s">
        <v>530</v>
      </c>
      <c r="AH48" s="30">
        <v>1</v>
      </c>
    </row>
    <row r="49" spans="1:34" x14ac:dyDescent="0.2">
      <c r="A49" t="s">
        <v>1968</v>
      </c>
      <c r="B49" t="s">
        <v>2056</v>
      </c>
      <c r="C49" t="s">
        <v>2057</v>
      </c>
      <c r="D49" t="s">
        <v>553</v>
      </c>
      <c r="E49">
        <v>34</v>
      </c>
      <c r="F49">
        <v>0</v>
      </c>
      <c r="G49" s="30">
        <v>0</v>
      </c>
      <c r="H49" s="30">
        <v>0</v>
      </c>
      <c r="I49">
        <v>38</v>
      </c>
      <c r="J49">
        <v>0</v>
      </c>
      <c r="K49" s="30">
        <v>0</v>
      </c>
      <c r="L49" s="30">
        <v>0</v>
      </c>
      <c r="M49" s="30">
        <v>3.0300000000000001E-2</v>
      </c>
      <c r="N49" s="30">
        <v>0</v>
      </c>
      <c r="O49">
        <v>2</v>
      </c>
      <c r="P49">
        <v>0</v>
      </c>
      <c r="Q49" s="30">
        <v>5.8799999999999998E-2</v>
      </c>
      <c r="R49" s="30">
        <v>0</v>
      </c>
      <c r="S49" s="31">
        <v>38</v>
      </c>
      <c r="T49" s="31">
        <v>0</v>
      </c>
      <c r="U49">
        <v>1</v>
      </c>
      <c r="V49">
        <v>0</v>
      </c>
      <c r="AA49" t="s">
        <v>553</v>
      </c>
      <c r="AB49">
        <v>2</v>
      </c>
      <c r="AC49" t="s">
        <v>553</v>
      </c>
      <c r="AD49" s="31">
        <v>38</v>
      </c>
      <c r="AE49" t="s">
        <v>553</v>
      </c>
      <c r="AF49">
        <v>34</v>
      </c>
      <c r="AG49" t="s">
        <v>553</v>
      </c>
      <c r="AH49" s="30">
        <v>3.0300000000000001E-2</v>
      </c>
    </row>
    <row r="50" spans="1:34" x14ac:dyDescent="0.2">
      <c r="A50" t="s">
        <v>2044</v>
      </c>
      <c r="B50" t="s">
        <v>2159</v>
      </c>
      <c r="C50" t="s">
        <v>2160</v>
      </c>
      <c r="D50" t="s">
        <v>616</v>
      </c>
      <c r="E50">
        <v>110</v>
      </c>
      <c r="F50">
        <v>4</v>
      </c>
      <c r="G50" s="30">
        <v>1E-4</v>
      </c>
      <c r="H50" s="30">
        <v>2.0000000000000001E-4</v>
      </c>
      <c r="I50">
        <v>139</v>
      </c>
      <c r="J50">
        <v>11</v>
      </c>
      <c r="K50" s="30">
        <v>1E-4</v>
      </c>
      <c r="L50" s="30">
        <v>2.9999999999999997E-4</v>
      </c>
      <c r="M50" s="30">
        <v>8.7300000000000003E-2</v>
      </c>
      <c r="N50" s="30">
        <v>0</v>
      </c>
      <c r="O50">
        <v>1</v>
      </c>
      <c r="P50">
        <v>0</v>
      </c>
      <c r="Q50" s="30">
        <v>9.1000000000000004E-3</v>
      </c>
      <c r="R50" s="30">
        <v>0</v>
      </c>
      <c r="S50" s="31">
        <v>15</v>
      </c>
      <c r="T50" s="31">
        <v>0</v>
      </c>
      <c r="U50">
        <v>1</v>
      </c>
      <c r="V50">
        <v>0</v>
      </c>
      <c r="AA50" t="s">
        <v>616</v>
      </c>
      <c r="AB50">
        <v>1</v>
      </c>
      <c r="AC50" t="s">
        <v>616</v>
      </c>
      <c r="AD50" s="31">
        <v>15</v>
      </c>
      <c r="AE50" t="s">
        <v>616</v>
      </c>
      <c r="AF50">
        <v>110</v>
      </c>
      <c r="AG50" t="s">
        <v>616</v>
      </c>
      <c r="AH50" s="30">
        <v>8.7300000000000003E-2</v>
      </c>
    </row>
    <row r="51" spans="1:34" x14ac:dyDescent="0.2">
      <c r="A51" t="s">
        <v>2058</v>
      </c>
      <c r="B51" t="s">
        <v>2058</v>
      </c>
      <c r="C51" t="s">
        <v>2059</v>
      </c>
      <c r="D51" t="s">
        <v>993</v>
      </c>
      <c r="E51">
        <v>35</v>
      </c>
      <c r="F51">
        <v>3</v>
      </c>
      <c r="G51" s="30">
        <v>0</v>
      </c>
      <c r="H51" s="30">
        <v>1E-4</v>
      </c>
      <c r="I51">
        <v>45</v>
      </c>
      <c r="J51">
        <v>5</v>
      </c>
      <c r="K51" s="30">
        <v>0</v>
      </c>
      <c r="L51" s="30">
        <v>2.0000000000000001E-4</v>
      </c>
      <c r="M51" s="30">
        <v>0.97560000000000002</v>
      </c>
      <c r="N51" s="30">
        <v>1</v>
      </c>
      <c r="O51">
        <v>5</v>
      </c>
      <c r="P51">
        <v>3</v>
      </c>
      <c r="Q51" s="30">
        <v>0.1429</v>
      </c>
      <c r="R51" s="30">
        <v>1</v>
      </c>
      <c r="S51" s="31">
        <v>100</v>
      </c>
      <c r="T51" s="31">
        <v>60</v>
      </c>
      <c r="U51">
        <v>2</v>
      </c>
      <c r="V51">
        <v>1</v>
      </c>
      <c r="AA51" t="s">
        <v>993</v>
      </c>
      <c r="AB51">
        <v>5</v>
      </c>
      <c r="AC51" t="s">
        <v>993</v>
      </c>
      <c r="AD51" s="31">
        <v>100</v>
      </c>
      <c r="AE51" t="s">
        <v>993</v>
      </c>
      <c r="AF51">
        <v>35</v>
      </c>
      <c r="AG51" t="s">
        <v>993</v>
      </c>
      <c r="AH51" s="30">
        <v>0.97560000000000002</v>
      </c>
    </row>
    <row r="52" spans="1:34" x14ac:dyDescent="0.2">
      <c r="A52" t="s">
        <v>1163</v>
      </c>
      <c r="B52" t="s">
        <v>1983</v>
      </c>
      <c r="C52" t="s">
        <v>1984</v>
      </c>
      <c r="D52" t="s">
        <v>640</v>
      </c>
      <c r="E52">
        <v>149</v>
      </c>
      <c r="F52">
        <v>2</v>
      </c>
      <c r="G52" s="30">
        <v>1E-4</v>
      </c>
      <c r="H52" s="30">
        <v>1E-4</v>
      </c>
      <c r="I52">
        <v>209</v>
      </c>
      <c r="J52">
        <v>2</v>
      </c>
      <c r="K52" s="30">
        <v>1E-4</v>
      </c>
      <c r="L52" s="30">
        <v>1E-4</v>
      </c>
      <c r="M52" s="30">
        <v>1</v>
      </c>
      <c r="N52" s="30">
        <v>1</v>
      </c>
      <c r="O52">
        <v>2</v>
      </c>
      <c r="P52">
        <v>0</v>
      </c>
      <c r="Q52" s="30">
        <v>1.34E-2</v>
      </c>
      <c r="R52" s="30">
        <v>0</v>
      </c>
      <c r="S52" s="31">
        <v>89.98</v>
      </c>
      <c r="T52" s="31">
        <v>0</v>
      </c>
      <c r="U52">
        <v>2</v>
      </c>
      <c r="V52">
        <v>0</v>
      </c>
      <c r="AA52" t="s">
        <v>640</v>
      </c>
      <c r="AB52">
        <v>2</v>
      </c>
      <c r="AC52" t="s">
        <v>640</v>
      </c>
      <c r="AD52" s="31">
        <v>89.98</v>
      </c>
      <c r="AE52" t="s">
        <v>640</v>
      </c>
      <c r="AF52">
        <v>149</v>
      </c>
      <c r="AG52" t="s">
        <v>640</v>
      </c>
      <c r="AH52" s="30">
        <v>1</v>
      </c>
    </row>
    <row r="53" spans="1:34" x14ac:dyDescent="0.2">
      <c r="A53" t="s">
        <v>1163</v>
      </c>
      <c r="B53" t="s">
        <v>1164</v>
      </c>
      <c r="C53" t="s">
        <v>1903</v>
      </c>
      <c r="D53" t="s">
        <v>642</v>
      </c>
      <c r="E53">
        <v>51</v>
      </c>
      <c r="F53">
        <v>3</v>
      </c>
      <c r="G53" s="30">
        <v>0</v>
      </c>
      <c r="H53" s="30">
        <v>1E-4</v>
      </c>
      <c r="I53">
        <v>74</v>
      </c>
      <c r="J53">
        <v>4</v>
      </c>
      <c r="K53" s="30">
        <v>0</v>
      </c>
      <c r="L53" s="30">
        <v>1E-4</v>
      </c>
      <c r="M53" s="30">
        <v>1</v>
      </c>
      <c r="N53" s="30">
        <v>1</v>
      </c>
      <c r="O53">
        <v>5</v>
      </c>
      <c r="P53">
        <v>1</v>
      </c>
      <c r="Q53" s="30">
        <v>9.8000000000000004E-2</v>
      </c>
      <c r="R53" s="30">
        <v>0.33329999999999999</v>
      </c>
      <c r="S53" s="31">
        <v>224.95</v>
      </c>
      <c r="T53" s="31">
        <v>44.99</v>
      </c>
      <c r="U53">
        <v>4</v>
      </c>
      <c r="V53">
        <v>1</v>
      </c>
      <c r="AA53" t="s">
        <v>642</v>
      </c>
      <c r="AB53">
        <v>5</v>
      </c>
      <c r="AC53" t="s">
        <v>642</v>
      </c>
      <c r="AD53" s="31">
        <v>224.95</v>
      </c>
      <c r="AE53" t="s">
        <v>642</v>
      </c>
      <c r="AF53">
        <v>51</v>
      </c>
      <c r="AG53" t="s">
        <v>642</v>
      </c>
      <c r="AH53" s="30">
        <v>1</v>
      </c>
    </row>
    <row r="54" spans="1:34" x14ac:dyDescent="0.2">
      <c r="A54" t="s">
        <v>1676</v>
      </c>
      <c r="B54" t="s">
        <v>1165</v>
      </c>
      <c r="C54" t="s">
        <v>2099</v>
      </c>
      <c r="D54" t="s">
        <v>657</v>
      </c>
      <c r="E54">
        <v>62</v>
      </c>
      <c r="F54">
        <v>0</v>
      </c>
      <c r="G54" s="30">
        <v>0</v>
      </c>
      <c r="H54" s="30">
        <v>0</v>
      </c>
      <c r="I54">
        <v>93</v>
      </c>
      <c r="J54">
        <v>0</v>
      </c>
      <c r="K54" s="30">
        <v>0</v>
      </c>
      <c r="L54" s="30">
        <v>0</v>
      </c>
      <c r="M54" s="30">
        <v>1</v>
      </c>
      <c r="N54" s="30">
        <v>0</v>
      </c>
      <c r="O54">
        <v>15</v>
      </c>
      <c r="P54">
        <v>0</v>
      </c>
      <c r="Q54" s="30">
        <v>0.2419</v>
      </c>
      <c r="R54" s="30">
        <v>0</v>
      </c>
      <c r="S54" s="31">
        <v>674.85</v>
      </c>
      <c r="T54" s="31">
        <v>0</v>
      </c>
      <c r="U54">
        <v>10</v>
      </c>
      <c r="V54">
        <v>0</v>
      </c>
      <c r="AA54" t="s">
        <v>657</v>
      </c>
      <c r="AB54">
        <v>15</v>
      </c>
      <c r="AC54" t="s">
        <v>657</v>
      </c>
      <c r="AD54" s="31">
        <v>674.85</v>
      </c>
      <c r="AE54" t="s">
        <v>657</v>
      </c>
      <c r="AF54">
        <v>62</v>
      </c>
      <c r="AG54" t="s">
        <v>657</v>
      </c>
      <c r="AH54" s="30">
        <v>1</v>
      </c>
    </row>
    <row r="55" spans="1:34" x14ac:dyDescent="0.2">
      <c r="A55" t="s">
        <v>2060</v>
      </c>
      <c r="B55" t="s">
        <v>2060</v>
      </c>
      <c r="C55" t="s">
        <v>2103</v>
      </c>
      <c r="D55" t="s">
        <v>1782</v>
      </c>
      <c r="E55">
        <v>62</v>
      </c>
      <c r="F55">
        <v>0</v>
      </c>
      <c r="G55" s="30">
        <v>0</v>
      </c>
      <c r="H55" s="30">
        <v>0</v>
      </c>
      <c r="I55">
        <v>86</v>
      </c>
      <c r="J55">
        <v>0</v>
      </c>
      <c r="K55" s="30">
        <v>0</v>
      </c>
      <c r="L55" s="30">
        <v>0</v>
      </c>
      <c r="M55" s="30">
        <v>1</v>
      </c>
      <c r="N55" s="30">
        <v>0</v>
      </c>
      <c r="O55">
        <v>1</v>
      </c>
      <c r="P55">
        <v>0</v>
      </c>
      <c r="Q55" s="30">
        <v>1.61E-2</v>
      </c>
      <c r="R55" s="30">
        <v>0</v>
      </c>
      <c r="S55" s="31">
        <v>44.99</v>
      </c>
      <c r="T55" s="31">
        <v>0</v>
      </c>
      <c r="U55">
        <v>1</v>
      </c>
      <c r="V55">
        <v>0</v>
      </c>
      <c r="AA55" t="s">
        <v>1782</v>
      </c>
      <c r="AB55">
        <v>1</v>
      </c>
      <c r="AC55" t="s">
        <v>1782</v>
      </c>
      <c r="AD55" s="31">
        <v>44.99</v>
      </c>
      <c r="AE55" t="s">
        <v>1782</v>
      </c>
      <c r="AF55">
        <v>62</v>
      </c>
      <c r="AG55" t="s">
        <v>1782</v>
      </c>
      <c r="AH55" s="30">
        <v>1</v>
      </c>
    </row>
    <row r="56" spans="1:34" x14ac:dyDescent="0.2">
      <c r="A56" t="s">
        <v>1166</v>
      </c>
      <c r="B56" t="s">
        <v>2144</v>
      </c>
      <c r="C56" t="s">
        <v>2145</v>
      </c>
      <c r="D56" t="s">
        <v>668</v>
      </c>
      <c r="E56">
        <v>38</v>
      </c>
      <c r="F56">
        <v>1</v>
      </c>
      <c r="G56" s="30">
        <v>0</v>
      </c>
      <c r="H56" s="30">
        <v>0</v>
      </c>
      <c r="I56">
        <v>55</v>
      </c>
      <c r="J56">
        <v>2</v>
      </c>
      <c r="K56" s="30">
        <v>0</v>
      </c>
      <c r="L56" s="30">
        <v>1E-4</v>
      </c>
      <c r="M56" s="30">
        <v>1</v>
      </c>
      <c r="N56" s="30">
        <v>1</v>
      </c>
      <c r="O56">
        <v>2</v>
      </c>
      <c r="P56">
        <v>0</v>
      </c>
      <c r="Q56" s="30">
        <v>5.2600000000000001E-2</v>
      </c>
      <c r="R56" s="30">
        <v>0</v>
      </c>
      <c r="S56" s="31">
        <v>107.98</v>
      </c>
      <c r="T56" s="31">
        <v>0</v>
      </c>
      <c r="U56">
        <v>1</v>
      </c>
      <c r="V56">
        <v>0</v>
      </c>
      <c r="AA56" t="s">
        <v>668</v>
      </c>
      <c r="AB56">
        <v>2</v>
      </c>
      <c r="AC56" t="s">
        <v>668</v>
      </c>
      <c r="AD56" s="31">
        <v>107.98</v>
      </c>
      <c r="AE56" t="s">
        <v>668</v>
      </c>
      <c r="AF56">
        <v>38</v>
      </c>
      <c r="AG56" t="s">
        <v>668</v>
      </c>
      <c r="AH56" s="30">
        <v>1</v>
      </c>
    </row>
    <row r="57" spans="1:34" x14ac:dyDescent="0.2">
      <c r="A57" t="s">
        <v>1167</v>
      </c>
      <c r="B57" t="s">
        <v>961</v>
      </c>
      <c r="C57" t="s">
        <v>1654</v>
      </c>
      <c r="D57" t="s">
        <v>672</v>
      </c>
      <c r="E57">
        <v>145</v>
      </c>
      <c r="F57">
        <v>2</v>
      </c>
      <c r="G57" s="30">
        <v>1E-4</v>
      </c>
      <c r="H57" s="30">
        <v>1E-4</v>
      </c>
      <c r="I57">
        <v>216</v>
      </c>
      <c r="J57">
        <v>2</v>
      </c>
      <c r="K57" s="30">
        <v>1E-4</v>
      </c>
      <c r="L57" s="30">
        <v>1E-4</v>
      </c>
      <c r="M57" s="30">
        <v>1</v>
      </c>
      <c r="N57" s="30">
        <v>0</v>
      </c>
      <c r="O57">
        <v>5</v>
      </c>
      <c r="P57">
        <v>0</v>
      </c>
      <c r="Q57" s="30">
        <v>3.4500000000000003E-2</v>
      </c>
      <c r="R57" s="30">
        <v>0</v>
      </c>
      <c r="S57" s="31">
        <v>209.95</v>
      </c>
      <c r="T57" s="31">
        <v>0</v>
      </c>
      <c r="U57">
        <v>4</v>
      </c>
      <c r="V57">
        <v>0</v>
      </c>
      <c r="AA57" t="s">
        <v>672</v>
      </c>
      <c r="AB57">
        <v>5</v>
      </c>
      <c r="AC57" t="s">
        <v>672</v>
      </c>
      <c r="AD57" s="31">
        <v>209.95</v>
      </c>
      <c r="AE57" t="s">
        <v>672</v>
      </c>
      <c r="AF57">
        <v>145</v>
      </c>
      <c r="AG57" t="s">
        <v>672</v>
      </c>
      <c r="AH57" s="30">
        <v>1</v>
      </c>
    </row>
    <row r="58" spans="1:34" x14ac:dyDescent="0.2">
      <c r="A58" t="s">
        <v>1168</v>
      </c>
      <c r="B58" t="s">
        <v>1172</v>
      </c>
      <c r="C58" t="s">
        <v>1967</v>
      </c>
      <c r="D58" t="s">
        <v>683</v>
      </c>
      <c r="E58">
        <v>79</v>
      </c>
      <c r="F58">
        <v>1</v>
      </c>
      <c r="G58" s="30">
        <v>0</v>
      </c>
      <c r="H58" s="30">
        <v>0</v>
      </c>
      <c r="I58">
        <v>108</v>
      </c>
      <c r="J58">
        <v>2</v>
      </c>
      <c r="K58" s="30">
        <v>1E-4</v>
      </c>
      <c r="L58" s="30">
        <v>1E-4</v>
      </c>
      <c r="M58" s="30">
        <v>1</v>
      </c>
      <c r="N58" s="30">
        <v>0</v>
      </c>
      <c r="O58">
        <v>2</v>
      </c>
      <c r="P58">
        <v>0</v>
      </c>
      <c r="Q58" s="30">
        <v>2.53E-2</v>
      </c>
      <c r="R58" s="30">
        <v>0</v>
      </c>
      <c r="S58" s="31">
        <v>71.98</v>
      </c>
      <c r="T58" s="31">
        <v>0</v>
      </c>
      <c r="U58">
        <v>2</v>
      </c>
      <c r="V58">
        <v>0</v>
      </c>
      <c r="AA58" t="s">
        <v>683</v>
      </c>
      <c r="AB58">
        <v>2</v>
      </c>
      <c r="AC58" t="s">
        <v>683</v>
      </c>
      <c r="AD58" s="31">
        <v>71.98</v>
      </c>
      <c r="AE58" t="s">
        <v>683</v>
      </c>
      <c r="AF58">
        <v>79</v>
      </c>
      <c r="AG58" t="s">
        <v>683</v>
      </c>
      <c r="AH58" s="30">
        <v>1</v>
      </c>
    </row>
    <row r="59" spans="1:34" x14ac:dyDescent="0.2">
      <c r="A59" t="s">
        <v>1168</v>
      </c>
      <c r="B59" t="s">
        <v>1173</v>
      </c>
      <c r="C59" t="s">
        <v>1174</v>
      </c>
      <c r="D59" t="s">
        <v>685</v>
      </c>
      <c r="E59">
        <v>85</v>
      </c>
      <c r="F59">
        <v>1</v>
      </c>
      <c r="G59" s="30">
        <v>1E-4</v>
      </c>
      <c r="H59" s="30">
        <v>0</v>
      </c>
      <c r="I59">
        <v>117</v>
      </c>
      <c r="J59">
        <v>1</v>
      </c>
      <c r="K59" s="30">
        <v>1E-4</v>
      </c>
      <c r="L59" s="30">
        <v>0</v>
      </c>
      <c r="M59" s="30">
        <v>1</v>
      </c>
      <c r="N59" s="30">
        <v>1</v>
      </c>
      <c r="O59">
        <v>3</v>
      </c>
      <c r="P59">
        <v>0</v>
      </c>
      <c r="Q59" s="30">
        <v>3.5299999999999998E-2</v>
      </c>
      <c r="R59" s="30">
        <v>0</v>
      </c>
      <c r="S59" s="31">
        <v>107.97</v>
      </c>
      <c r="T59" s="31">
        <v>0</v>
      </c>
      <c r="U59">
        <v>2</v>
      </c>
      <c r="V59">
        <v>0</v>
      </c>
      <c r="AA59" t="s">
        <v>685</v>
      </c>
      <c r="AB59">
        <v>3</v>
      </c>
      <c r="AC59" t="s">
        <v>685</v>
      </c>
      <c r="AD59" s="31">
        <v>107.97</v>
      </c>
      <c r="AE59" t="s">
        <v>685</v>
      </c>
      <c r="AF59">
        <v>85</v>
      </c>
      <c r="AG59" t="s">
        <v>685</v>
      </c>
      <c r="AH59" s="30">
        <v>1</v>
      </c>
    </row>
    <row r="60" spans="1:34" x14ac:dyDescent="0.2">
      <c r="A60" t="s">
        <v>2197</v>
      </c>
      <c r="B60" t="s">
        <v>1175</v>
      </c>
      <c r="C60" t="s">
        <v>1916</v>
      </c>
      <c r="D60" t="s">
        <v>690</v>
      </c>
      <c r="E60">
        <v>93</v>
      </c>
      <c r="F60">
        <v>3</v>
      </c>
      <c r="G60" s="30">
        <v>1E-4</v>
      </c>
      <c r="H60" s="30">
        <v>1E-4</v>
      </c>
      <c r="I60">
        <v>121</v>
      </c>
      <c r="J60">
        <v>6</v>
      </c>
      <c r="K60" s="30">
        <v>1E-4</v>
      </c>
      <c r="L60" s="30">
        <v>2.0000000000000001E-4</v>
      </c>
      <c r="M60" s="30">
        <v>0.9083</v>
      </c>
      <c r="N60" s="30">
        <v>1</v>
      </c>
      <c r="O60">
        <v>15</v>
      </c>
      <c r="P60">
        <v>0</v>
      </c>
      <c r="Q60" s="30">
        <v>0.1613</v>
      </c>
      <c r="R60" s="30">
        <v>0</v>
      </c>
      <c r="S60" s="31">
        <v>719.85</v>
      </c>
      <c r="T60" s="31">
        <v>0</v>
      </c>
      <c r="U60">
        <v>12</v>
      </c>
      <c r="V60">
        <v>0</v>
      </c>
      <c r="AA60" t="s">
        <v>690</v>
      </c>
      <c r="AB60">
        <v>15</v>
      </c>
      <c r="AC60" t="s">
        <v>690</v>
      </c>
      <c r="AD60" s="31">
        <v>719.85</v>
      </c>
      <c r="AE60" t="s">
        <v>690</v>
      </c>
      <c r="AF60">
        <v>93</v>
      </c>
      <c r="AG60" t="s">
        <v>690</v>
      </c>
      <c r="AH60" s="30">
        <v>0.9083</v>
      </c>
    </row>
    <row r="61" spans="1:34" x14ac:dyDescent="0.2">
      <c r="A61" t="s">
        <v>2197</v>
      </c>
      <c r="B61" t="s">
        <v>1176</v>
      </c>
      <c r="C61" t="s">
        <v>1897</v>
      </c>
      <c r="D61" t="s">
        <v>694</v>
      </c>
      <c r="E61">
        <v>47</v>
      </c>
      <c r="F61">
        <v>1</v>
      </c>
      <c r="G61" s="30">
        <v>0</v>
      </c>
      <c r="H61" s="30">
        <v>0</v>
      </c>
      <c r="I61">
        <v>51</v>
      </c>
      <c r="J61">
        <v>2</v>
      </c>
      <c r="K61" s="30">
        <v>0</v>
      </c>
      <c r="L61" s="30">
        <v>1E-4</v>
      </c>
      <c r="M61" s="30">
        <v>0.22</v>
      </c>
      <c r="N61" s="30">
        <v>0</v>
      </c>
      <c r="O61">
        <v>1</v>
      </c>
      <c r="P61">
        <v>0</v>
      </c>
      <c r="Q61" s="30">
        <v>2.1299999999999999E-2</v>
      </c>
      <c r="R61" s="30">
        <v>0</v>
      </c>
      <c r="S61" s="31">
        <v>47.99</v>
      </c>
      <c r="T61" s="31">
        <v>0</v>
      </c>
      <c r="U61">
        <v>1</v>
      </c>
      <c r="V61">
        <v>0</v>
      </c>
      <c r="AA61" t="s">
        <v>694</v>
      </c>
      <c r="AB61">
        <v>1</v>
      </c>
      <c r="AC61" t="s">
        <v>694</v>
      </c>
      <c r="AD61" s="31">
        <v>47.99</v>
      </c>
      <c r="AE61" t="s">
        <v>694</v>
      </c>
      <c r="AF61">
        <v>47</v>
      </c>
      <c r="AG61" t="s">
        <v>694</v>
      </c>
      <c r="AH61" s="30">
        <v>0.22</v>
      </c>
    </row>
    <row r="62" spans="1:34" x14ac:dyDescent="0.2">
      <c r="A62" t="s">
        <v>1702</v>
      </c>
      <c r="B62" t="s">
        <v>2061</v>
      </c>
      <c r="C62" t="s">
        <v>2062</v>
      </c>
      <c r="D62" t="s">
        <v>698</v>
      </c>
      <c r="E62">
        <v>18</v>
      </c>
      <c r="F62">
        <v>0</v>
      </c>
      <c r="G62" s="30">
        <v>0</v>
      </c>
      <c r="H62" s="30">
        <v>0</v>
      </c>
      <c r="I62">
        <v>27</v>
      </c>
      <c r="J62">
        <v>0</v>
      </c>
      <c r="K62" s="30">
        <v>0</v>
      </c>
      <c r="L62" s="30">
        <v>0</v>
      </c>
      <c r="M62" s="30">
        <v>0.78259999999999996</v>
      </c>
      <c r="N62" s="30">
        <v>0</v>
      </c>
      <c r="O62">
        <v>1</v>
      </c>
      <c r="P62">
        <v>0</v>
      </c>
      <c r="Q62" s="30">
        <v>5.5599999999999997E-2</v>
      </c>
      <c r="R62" s="30">
        <v>0</v>
      </c>
      <c r="S62" s="31">
        <v>44.99</v>
      </c>
      <c r="T62" s="31">
        <v>0</v>
      </c>
      <c r="U62">
        <v>1</v>
      </c>
      <c r="V62">
        <v>0</v>
      </c>
      <c r="AA62" t="s">
        <v>698</v>
      </c>
      <c r="AB62">
        <v>1</v>
      </c>
      <c r="AC62" t="s">
        <v>698</v>
      </c>
      <c r="AD62" s="31">
        <v>44.99</v>
      </c>
      <c r="AE62" t="s">
        <v>698</v>
      </c>
      <c r="AF62">
        <v>18</v>
      </c>
      <c r="AG62" t="s">
        <v>698</v>
      </c>
      <c r="AH62" s="30">
        <v>0.78259999999999996</v>
      </c>
    </row>
    <row r="63" spans="1:34" x14ac:dyDescent="0.2">
      <c r="A63" t="s">
        <v>2198</v>
      </c>
      <c r="B63" t="s">
        <v>2199</v>
      </c>
      <c r="C63" t="s">
        <v>2200</v>
      </c>
      <c r="D63" t="s">
        <v>722</v>
      </c>
      <c r="E63">
        <v>9</v>
      </c>
      <c r="F63">
        <v>1</v>
      </c>
      <c r="G63" s="30">
        <v>0</v>
      </c>
      <c r="H63" s="30">
        <v>0</v>
      </c>
      <c r="I63">
        <v>9</v>
      </c>
      <c r="J63">
        <v>1</v>
      </c>
      <c r="K63" s="30">
        <v>0</v>
      </c>
      <c r="L63" s="30">
        <v>0</v>
      </c>
      <c r="M63" s="30">
        <v>1</v>
      </c>
      <c r="N63" s="30">
        <v>1</v>
      </c>
      <c r="O63">
        <v>1</v>
      </c>
      <c r="P63">
        <v>0</v>
      </c>
      <c r="Q63" s="30">
        <v>0.1111</v>
      </c>
      <c r="R63" s="30">
        <v>0</v>
      </c>
      <c r="S63" s="31">
        <v>36</v>
      </c>
      <c r="T63" s="31">
        <v>0</v>
      </c>
      <c r="U63">
        <v>1</v>
      </c>
      <c r="V63">
        <v>0</v>
      </c>
      <c r="AA63" t="s">
        <v>722</v>
      </c>
      <c r="AB63">
        <v>1</v>
      </c>
      <c r="AC63" t="s">
        <v>722</v>
      </c>
      <c r="AD63" s="31">
        <v>36</v>
      </c>
      <c r="AE63" t="s">
        <v>722</v>
      </c>
      <c r="AF63">
        <v>9</v>
      </c>
      <c r="AG63" t="s">
        <v>722</v>
      </c>
      <c r="AH63" s="30">
        <v>1</v>
      </c>
    </row>
    <row r="64" spans="1:34" x14ac:dyDescent="0.2">
      <c r="A64" t="s">
        <v>2163</v>
      </c>
      <c r="B64" t="s">
        <v>2163</v>
      </c>
      <c r="C64" t="s">
        <v>2164</v>
      </c>
      <c r="D64" t="s">
        <v>1783</v>
      </c>
      <c r="E64">
        <v>28</v>
      </c>
      <c r="F64">
        <v>2</v>
      </c>
      <c r="G64" s="30">
        <v>0</v>
      </c>
      <c r="H64" s="30">
        <v>1E-4</v>
      </c>
      <c r="I64">
        <v>30</v>
      </c>
      <c r="J64">
        <v>2</v>
      </c>
      <c r="K64" s="30">
        <v>0</v>
      </c>
      <c r="L64" s="30">
        <v>1E-4</v>
      </c>
      <c r="M64" s="30">
        <v>1</v>
      </c>
      <c r="N64" s="30">
        <v>1</v>
      </c>
      <c r="O64">
        <v>1</v>
      </c>
      <c r="P64">
        <v>0</v>
      </c>
      <c r="Q64" s="30">
        <v>3.5700000000000003E-2</v>
      </c>
      <c r="R64" s="30">
        <v>0</v>
      </c>
      <c r="S64" s="31">
        <v>54</v>
      </c>
      <c r="T64" s="31">
        <v>0</v>
      </c>
      <c r="U64">
        <v>1</v>
      </c>
      <c r="V64">
        <v>0</v>
      </c>
      <c r="AA64" t="s">
        <v>1783</v>
      </c>
      <c r="AB64">
        <v>1</v>
      </c>
      <c r="AC64" t="s">
        <v>1783</v>
      </c>
      <c r="AD64" s="31">
        <v>54</v>
      </c>
      <c r="AE64" t="s">
        <v>1783</v>
      </c>
      <c r="AF64">
        <v>28</v>
      </c>
      <c r="AG64" t="s">
        <v>1783</v>
      </c>
      <c r="AH64" s="30">
        <v>1</v>
      </c>
    </row>
    <row r="65" spans="1:34" x14ac:dyDescent="0.2">
      <c r="A65" t="s">
        <v>1177</v>
      </c>
      <c r="B65" t="s">
        <v>1178</v>
      </c>
      <c r="C65" t="s">
        <v>1866</v>
      </c>
      <c r="D65" t="s">
        <v>757</v>
      </c>
      <c r="E65">
        <v>69</v>
      </c>
      <c r="F65">
        <v>1</v>
      </c>
      <c r="G65" s="30">
        <v>0</v>
      </c>
      <c r="H65" s="30">
        <v>0</v>
      </c>
      <c r="I65">
        <v>91</v>
      </c>
      <c r="J65">
        <v>1</v>
      </c>
      <c r="K65" s="30">
        <v>0</v>
      </c>
      <c r="L65" s="30">
        <v>0</v>
      </c>
      <c r="M65" s="30">
        <v>0.89290000000000003</v>
      </c>
      <c r="N65" s="30">
        <v>0</v>
      </c>
      <c r="O65">
        <v>1</v>
      </c>
      <c r="P65">
        <v>0</v>
      </c>
      <c r="Q65" s="30">
        <v>1.4500000000000001E-2</v>
      </c>
      <c r="R65" s="30">
        <v>0</v>
      </c>
      <c r="S65" s="31">
        <v>47.99</v>
      </c>
      <c r="T65" s="31">
        <v>0</v>
      </c>
      <c r="U65">
        <v>1</v>
      </c>
      <c r="V65">
        <v>0</v>
      </c>
      <c r="AA65" t="s">
        <v>757</v>
      </c>
      <c r="AB65">
        <v>1</v>
      </c>
      <c r="AC65" t="s">
        <v>757</v>
      </c>
      <c r="AD65" s="31">
        <v>47.99</v>
      </c>
      <c r="AE65" t="s">
        <v>757</v>
      </c>
      <c r="AF65">
        <v>69</v>
      </c>
      <c r="AG65" t="s">
        <v>757</v>
      </c>
      <c r="AH65" s="30">
        <v>0.89290000000000003</v>
      </c>
    </row>
    <row r="66" spans="1:34" x14ac:dyDescent="0.2">
      <c r="A66" t="s">
        <v>1677</v>
      </c>
      <c r="B66" t="s">
        <v>1950</v>
      </c>
      <c r="C66" t="s">
        <v>1951</v>
      </c>
      <c r="D66" t="s">
        <v>767</v>
      </c>
      <c r="E66">
        <v>161</v>
      </c>
      <c r="F66">
        <v>2</v>
      </c>
      <c r="G66" s="30">
        <v>1E-4</v>
      </c>
      <c r="H66" s="30">
        <v>1E-4</v>
      </c>
      <c r="I66">
        <v>255</v>
      </c>
      <c r="J66">
        <v>2</v>
      </c>
      <c r="K66" s="30">
        <v>1E-4</v>
      </c>
      <c r="L66" s="30">
        <v>1E-4</v>
      </c>
      <c r="M66" s="30">
        <v>0.36630000000000001</v>
      </c>
      <c r="N66" s="30">
        <v>1</v>
      </c>
      <c r="O66">
        <v>2</v>
      </c>
      <c r="P66">
        <v>0</v>
      </c>
      <c r="Q66" s="30">
        <v>1.24E-2</v>
      </c>
      <c r="R66" s="30">
        <v>0</v>
      </c>
      <c r="S66" s="31">
        <v>87.98</v>
      </c>
      <c r="T66" s="31">
        <v>0</v>
      </c>
      <c r="U66">
        <v>1</v>
      </c>
      <c r="V66">
        <v>0</v>
      </c>
      <c r="AA66" t="s">
        <v>767</v>
      </c>
      <c r="AB66">
        <v>2</v>
      </c>
      <c r="AC66" t="s">
        <v>767</v>
      </c>
      <c r="AD66" s="31">
        <v>87.98</v>
      </c>
      <c r="AE66" t="s">
        <v>767</v>
      </c>
      <c r="AF66">
        <v>161</v>
      </c>
      <c r="AG66" t="s">
        <v>767</v>
      </c>
      <c r="AH66" s="30">
        <v>0.36630000000000001</v>
      </c>
    </row>
    <row r="67" spans="1:34" x14ac:dyDescent="0.2">
      <c r="A67" t="s">
        <v>1677</v>
      </c>
      <c r="B67" t="s">
        <v>1181</v>
      </c>
      <c r="C67" t="s">
        <v>1678</v>
      </c>
      <c r="D67" t="s">
        <v>772</v>
      </c>
      <c r="E67">
        <v>79</v>
      </c>
      <c r="F67">
        <v>3</v>
      </c>
      <c r="G67" s="30">
        <v>0</v>
      </c>
      <c r="H67" s="30">
        <v>1E-4</v>
      </c>
      <c r="I67">
        <v>117</v>
      </c>
      <c r="J67">
        <v>3</v>
      </c>
      <c r="K67" s="30">
        <v>1E-4</v>
      </c>
      <c r="L67" s="30">
        <v>1E-4</v>
      </c>
      <c r="M67" s="30">
        <v>0.71789999999999998</v>
      </c>
      <c r="N67" s="30">
        <v>0.66669999999999996</v>
      </c>
      <c r="O67">
        <v>2</v>
      </c>
      <c r="P67">
        <v>0</v>
      </c>
      <c r="Q67" s="30">
        <v>2.53E-2</v>
      </c>
      <c r="R67" s="30">
        <v>0</v>
      </c>
      <c r="S67" s="31">
        <v>87.98</v>
      </c>
      <c r="T67" s="31">
        <v>0</v>
      </c>
      <c r="U67">
        <v>1</v>
      </c>
      <c r="V67">
        <v>0</v>
      </c>
      <c r="AA67" t="s">
        <v>772</v>
      </c>
      <c r="AB67">
        <v>2</v>
      </c>
      <c r="AC67" t="s">
        <v>772</v>
      </c>
      <c r="AD67" s="31">
        <v>87.98</v>
      </c>
      <c r="AE67" t="s">
        <v>772</v>
      </c>
      <c r="AF67">
        <v>79</v>
      </c>
      <c r="AG67" t="s">
        <v>772</v>
      </c>
      <c r="AH67" s="30">
        <v>0.71789999999999998</v>
      </c>
    </row>
    <row r="68" spans="1:34" x14ac:dyDescent="0.2">
      <c r="A68" t="s">
        <v>1871</v>
      </c>
      <c r="B68" t="s">
        <v>1182</v>
      </c>
      <c r="C68" t="s">
        <v>1943</v>
      </c>
      <c r="D68" t="s">
        <v>781</v>
      </c>
      <c r="E68">
        <v>125</v>
      </c>
      <c r="F68">
        <v>2</v>
      </c>
      <c r="G68" s="30">
        <v>1E-4</v>
      </c>
      <c r="H68" s="30">
        <v>1E-4</v>
      </c>
      <c r="I68">
        <v>174</v>
      </c>
      <c r="J68">
        <v>4</v>
      </c>
      <c r="K68" s="30">
        <v>1E-4</v>
      </c>
      <c r="L68" s="30">
        <v>1E-4</v>
      </c>
      <c r="M68" s="30">
        <v>0</v>
      </c>
      <c r="N68" s="30">
        <v>0</v>
      </c>
      <c r="O68">
        <v>2</v>
      </c>
      <c r="P68">
        <v>0</v>
      </c>
      <c r="Q68" s="30">
        <v>1.6E-2</v>
      </c>
      <c r="R68" s="30">
        <v>0</v>
      </c>
      <c r="S68" s="31">
        <v>59.98</v>
      </c>
      <c r="T68" s="31">
        <v>0</v>
      </c>
      <c r="U68">
        <v>1</v>
      </c>
      <c r="V68">
        <v>0</v>
      </c>
      <c r="AA68" t="s">
        <v>781</v>
      </c>
      <c r="AB68">
        <v>2</v>
      </c>
      <c r="AC68" t="s">
        <v>781</v>
      </c>
      <c r="AD68" s="31">
        <v>59.98</v>
      </c>
      <c r="AE68" t="s">
        <v>781</v>
      </c>
      <c r="AF68">
        <v>125</v>
      </c>
      <c r="AG68" t="s">
        <v>781</v>
      </c>
      <c r="AH68" s="30">
        <v>0</v>
      </c>
    </row>
    <row r="69" spans="1:34" x14ac:dyDescent="0.2">
      <c r="A69" t="s">
        <v>1856</v>
      </c>
      <c r="B69" t="s">
        <v>2201</v>
      </c>
      <c r="C69" t="s">
        <v>2202</v>
      </c>
      <c r="D69" t="s">
        <v>821</v>
      </c>
      <c r="E69">
        <v>136</v>
      </c>
      <c r="F69">
        <v>1</v>
      </c>
      <c r="G69" s="30">
        <v>1E-4</v>
      </c>
      <c r="H69" s="30">
        <v>0</v>
      </c>
      <c r="I69">
        <v>215</v>
      </c>
      <c r="J69">
        <v>2</v>
      </c>
      <c r="K69" s="30">
        <v>1E-4</v>
      </c>
      <c r="L69" s="30">
        <v>1E-4</v>
      </c>
      <c r="M69" s="30">
        <v>0.88019999999999998</v>
      </c>
      <c r="N69" s="30">
        <v>0</v>
      </c>
      <c r="O69">
        <v>21</v>
      </c>
      <c r="P69">
        <v>0</v>
      </c>
      <c r="Q69" s="30">
        <v>0.15440000000000001</v>
      </c>
      <c r="R69" s="30">
        <v>0</v>
      </c>
      <c r="S69" s="31">
        <v>357</v>
      </c>
      <c r="T69" s="31">
        <v>0</v>
      </c>
      <c r="U69">
        <v>16</v>
      </c>
      <c r="V69">
        <v>0</v>
      </c>
      <c r="AA69" t="s">
        <v>821</v>
      </c>
      <c r="AB69">
        <v>21</v>
      </c>
      <c r="AC69" t="s">
        <v>821</v>
      </c>
      <c r="AD69" s="31">
        <v>357</v>
      </c>
      <c r="AE69" t="s">
        <v>821</v>
      </c>
      <c r="AF69">
        <v>136</v>
      </c>
      <c r="AG69" t="s">
        <v>821</v>
      </c>
      <c r="AH69" s="30">
        <v>0.88019999999999998</v>
      </c>
    </row>
    <row r="70" spans="1:34" x14ac:dyDescent="0.2">
      <c r="A70" t="s">
        <v>1856</v>
      </c>
      <c r="B70" t="s">
        <v>2203</v>
      </c>
      <c r="C70" t="s">
        <v>2204</v>
      </c>
      <c r="D70" t="s">
        <v>828</v>
      </c>
      <c r="E70">
        <v>68</v>
      </c>
      <c r="F70">
        <v>0</v>
      </c>
      <c r="G70" s="30">
        <v>0</v>
      </c>
      <c r="H70" s="30">
        <v>0</v>
      </c>
      <c r="I70">
        <v>97</v>
      </c>
      <c r="J70">
        <v>0</v>
      </c>
      <c r="K70" s="30">
        <v>0</v>
      </c>
      <c r="L70" s="30">
        <v>0</v>
      </c>
      <c r="M70" s="30">
        <v>8.7900000000000006E-2</v>
      </c>
      <c r="N70" s="30">
        <v>0</v>
      </c>
      <c r="O70">
        <v>2</v>
      </c>
      <c r="P70">
        <v>0</v>
      </c>
      <c r="Q70" s="30">
        <v>2.9399999999999999E-2</v>
      </c>
      <c r="R70" s="30">
        <v>0</v>
      </c>
      <c r="S70" s="31">
        <v>34</v>
      </c>
      <c r="T70" s="31">
        <v>0</v>
      </c>
      <c r="U70">
        <v>1</v>
      </c>
      <c r="V70">
        <v>0</v>
      </c>
      <c r="AA70" t="s">
        <v>828</v>
      </c>
      <c r="AB70">
        <v>2</v>
      </c>
      <c r="AC70" t="s">
        <v>828</v>
      </c>
      <c r="AD70" s="31">
        <v>34</v>
      </c>
      <c r="AE70" t="s">
        <v>828</v>
      </c>
      <c r="AF70">
        <v>68</v>
      </c>
      <c r="AG70" t="s">
        <v>828</v>
      </c>
      <c r="AH70" s="30">
        <v>8.7900000000000006E-2</v>
      </c>
    </row>
    <row r="71" spans="1:34" x14ac:dyDescent="0.2">
      <c r="A71" t="s">
        <v>1681</v>
      </c>
      <c r="B71" t="s">
        <v>2088</v>
      </c>
      <c r="C71" t="s">
        <v>2089</v>
      </c>
      <c r="D71" t="s">
        <v>837</v>
      </c>
      <c r="E71">
        <v>38</v>
      </c>
      <c r="F71">
        <v>0</v>
      </c>
      <c r="G71" s="30">
        <v>0</v>
      </c>
      <c r="H71" s="30">
        <v>0</v>
      </c>
      <c r="I71">
        <v>49</v>
      </c>
      <c r="J71">
        <v>0</v>
      </c>
      <c r="K71" s="30">
        <v>0</v>
      </c>
      <c r="L71" s="30">
        <v>0</v>
      </c>
      <c r="M71" s="30">
        <v>0.64439999999999997</v>
      </c>
      <c r="N71" s="30">
        <v>0</v>
      </c>
      <c r="O71">
        <v>1</v>
      </c>
      <c r="P71">
        <v>0</v>
      </c>
      <c r="Q71" s="30">
        <v>2.63E-2</v>
      </c>
      <c r="R71" s="30">
        <v>0</v>
      </c>
      <c r="S71" s="31">
        <v>24.99</v>
      </c>
      <c r="T71" s="31">
        <v>0</v>
      </c>
      <c r="U71">
        <v>1</v>
      </c>
      <c r="V71">
        <v>0</v>
      </c>
      <c r="AA71" t="s">
        <v>837</v>
      </c>
      <c r="AB71">
        <v>1</v>
      </c>
      <c r="AC71" t="s">
        <v>837</v>
      </c>
      <c r="AD71" s="31">
        <v>24.99</v>
      </c>
      <c r="AE71" t="s">
        <v>837</v>
      </c>
      <c r="AF71">
        <v>38</v>
      </c>
      <c r="AG71" t="s">
        <v>837</v>
      </c>
      <c r="AH71" s="30">
        <v>0.64439999999999997</v>
      </c>
    </row>
    <row r="72" spans="1:34" x14ac:dyDescent="0.2">
      <c r="A72" t="s">
        <v>1204</v>
      </c>
      <c r="B72" t="s">
        <v>2165</v>
      </c>
      <c r="C72" t="s">
        <v>2166</v>
      </c>
      <c r="D72" t="s">
        <v>839</v>
      </c>
      <c r="E72">
        <v>187</v>
      </c>
      <c r="F72">
        <v>1</v>
      </c>
      <c r="G72" s="30">
        <v>1E-4</v>
      </c>
      <c r="H72" s="30">
        <v>0</v>
      </c>
      <c r="I72">
        <v>268</v>
      </c>
      <c r="J72">
        <v>1</v>
      </c>
      <c r="K72" s="30">
        <v>1E-4</v>
      </c>
      <c r="L72" s="30">
        <v>0</v>
      </c>
      <c r="M72" s="30">
        <v>0.56379999999999997</v>
      </c>
      <c r="N72" s="30">
        <v>0</v>
      </c>
      <c r="O72">
        <v>12</v>
      </c>
      <c r="P72">
        <v>0</v>
      </c>
      <c r="Q72" s="30">
        <v>6.4199999999999993E-2</v>
      </c>
      <c r="R72" s="30">
        <v>0</v>
      </c>
      <c r="S72" s="31">
        <v>239.88</v>
      </c>
      <c r="T72" s="31">
        <v>0</v>
      </c>
      <c r="U72">
        <v>8</v>
      </c>
      <c r="V72">
        <v>0</v>
      </c>
      <c r="AA72" t="s">
        <v>839</v>
      </c>
      <c r="AB72">
        <v>12</v>
      </c>
      <c r="AC72" t="s">
        <v>839</v>
      </c>
      <c r="AD72" s="31">
        <v>239.88</v>
      </c>
      <c r="AE72" t="s">
        <v>839</v>
      </c>
      <c r="AF72">
        <v>187</v>
      </c>
      <c r="AG72" t="s">
        <v>839</v>
      </c>
      <c r="AH72" s="30">
        <v>0.56379999999999997</v>
      </c>
    </row>
    <row r="73" spans="1:34" x14ac:dyDescent="0.2">
      <c r="A73" t="s">
        <v>1204</v>
      </c>
      <c r="B73" t="s">
        <v>2205</v>
      </c>
      <c r="C73" t="s">
        <v>2206</v>
      </c>
      <c r="D73" t="s">
        <v>846</v>
      </c>
      <c r="E73">
        <v>63</v>
      </c>
      <c r="F73">
        <v>1</v>
      </c>
      <c r="G73" s="30">
        <v>0</v>
      </c>
      <c r="H73" s="30">
        <v>0</v>
      </c>
      <c r="I73">
        <v>80</v>
      </c>
      <c r="J73">
        <v>1</v>
      </c>
      <c r="K73" s="30">
        <v>0</v>
      </c>
      <c r="L73" s="30">
        <v>0</v>
      </c>
      <c r="M73" s="30">
        <v>0.72370000000000001</v>
      </c>
      <c r="N73" s="30">
        <v>0</v>
      </c>
      <c r="O73">
        <v>11</v>
      </c>
      <c r="P73">
        <v>0</v>
      </c>
      <c r="Q73" s="30">
        <v>0.17460000000000001</v>
      </c>
      <c r="R73" s="30">
        <v>0</v>
      </c>
      <c r="S73" s="31">
        <v>219.89</v>
      </c>
      <c r="T73" s="31">
        <v>0</v>
      </c>
      <c r="U73">
        <v>10</v>
      </c>
      <c r="V73">
        <v>0</v>
      </c>
      <c r="AA73" t="s">
        <v>846</v>
      </c>
      <c r="AB73">
        <v>11</v>
      </c>
      <c r="AC73" t="s">
        <v>846</v>
      </c>
      <c r="AD73" s="31">
        <v>219.89</v>
      </c>
      <c r="AE73" t="s">
        <v>846</v>
      </c>
      <c r="AF73">
        <v>63</v>
      </c>
      <c r="AG73" t="s">
        <v>846</v>
      </c>
      <c r="AH73" s="30">
        <v>0.72370000000000001</v>
      </c>
    </row>
    <row r="74" spans="1:34" x14ac:dyDescent="0.2">
      <c r="A74" t="s">
        <v>1701</v>
      </c>
      <c r="B74" t="s">
        <v>1184</v>
      </c>
      <c r="C74" t="s">
        <v>1872</v>
      </c>
      <c r="D74" t="s">
        <v>850</v>
      </c>
      <c r="E74">
        <v>177</v>
      </c>
      <c r="F74">
        <v>1</v>
      </c>
      <c r="G74" s="30">
        <v>1E-4</v>
      </c>
      <c r="H74" s="30">
        <v>0</v>
      </c>
      <c r="I74">
        <v>267</v>
      </c>
      <c r="J74">
        <v>3</v>
      </c>
      <c r="K74" s="30">
        <v>1E-4</v>
      </c>
      <c r="L74" s="30">
        <v>1E-4</v>
      </c>
      <c r="M74" s="30">
        <v>1</v>
      </c>
      <c r="N74" s="30">
        <v>0</v>
      </c>
      <c r="O74">
        <v>11</v>
      </c>
      <c r="P74">
        <v>0</v>
      </c>
      <c r="Q74" s="30">
        <v>6.2100000000000002E-2</v>
      </c>
      <c r="R74" s="30">
        <v>0</v>
      </c>
      <c r="S74" s="31">
        <v>198</v>
      </c>
      <c r="T74" s="31">
        <v>0</v>
      </c>
      <c r="U74">
        <v>11</v>
      </c>
      <c r="V74">
        <v>0</v>
      </c>
      <c r="AA74" t="s">
        <v>850</v>
      </c>
      <c r="AB74">
        <v>11</v>
      </c>
      <c r="AC74" t="s">
        <v>850</v>
      </c>
      <c r="AD74" s="31">
        <v>198</v>
      </c>
      <c r="AE74" t="s">
        <v>850</v>
      </c>
      <c r="AF74">
        <v>177</v>
      </c>
      <c r="AG74" t="s">
        <v>850</v>
      </c>
      <c r="AH74" s="30">
        <v>1</v>
      </c>
    </row>
    <row r="75" spans="1:34" x14ac:dyDescent="0.2">
      <c r="A75" t="s">
        <v>2020</v>
      </c>
      <c r="B75" t="s">
        <v>2207</v>
      </c>
      <c r="C75" t="s">
        <v>2208</v>
      </c>
      <c r="D75" t="s">
        <v>861</v>
      </c>
      <c r="E75">
        <v>112</v>
      </c>
      <c r="F75">
        <v>4</v>
      </c>
      <c r="G75" s="30">
        <v>1E-4</v>
      </c>
      <c r="H75" s="30">
        <v>2.0000000000000001E-4</v>
      </c>
      <c r="I75">
        <v>146</v>
      </c>
      <c r="J75">
        <v>7</v>
      </c>
      <c r="K75" s="30">
        <v>1E-4</v>
      </c>
      <c r="L75" s="30">
        <v>2.0000000000000001E-4</v>
      </c>
      <c r="M75" s="30">
        <v>1</v>
      </c>
      <c r="N75" s="30">
        <v>1</v>
      </c>
      <c r="O75">
        <v>11</v>
      </c>
      <c r="P75">
        <v>0</v>
      </c>
      <c r="Q75" s="30">
        <v>9.8199999999999996E-2</v>
      </c>
      <c r="R75" s="30">
        <v>0</v>
      </c>
      <c r="S75" s="31">
        <v>198</v>
      </c>
      <c r="T75" s="31">
        <v>0</v>
      </c>
      <c r="U75">
        <v>10</v>
      </c>
      <c r="V75">
        <v>0</v>
      </c>
      <c r="AA75" t="s">
        <v>861</v>
      </c>
      <c r="AB75">
        <v>11</v>
      </c>
      <c r="AC75" t="s">
        <v>861</v>
      </c>
      <c r="AD75" s="31">
        <v>198</v>
      </c>
      <c r="AE75" t="s">
        <v>861</v>
      </c>
      <c r="AF75">
        <v>112</v>
      </c>
      <c r="AG75" t="s">
        <v>861</v>
      </c>
      <c r="AH75" s="30">
        <v>1</v>
      </c>
    </row>
    <row r="76" spans="1:34" x14ac:dyDescent="0.2">
      <c r="A76" t="s">
        <v>1918</v>
      </c>
      <c r="B76" t="s">
        <v>1185</v>
      </c>
      <c r="C76" t="s">
        <v>2015</v>
      </c>
      <c r="D76" t="s">
        <v>869</v>
      </c>
      <c r="E76">
        <v>578</v>
      </c>
      <c r="F76">
        <v>11</v>
      </c>
      <c r="G76" s="30">
        <v>4.0000000000000002E-4</v>
      </c>
      <c r="H76" s="30">
        <v>5.0000000000000001E-4</v>
      </c>
      <c r="I76">
        <v>808</v>
      </c>
      <c r="J76">
        <v>16</v>
      </c>
      <c r="K76" s="30">
        <v>4.0000000000000002E-4</v>
      </c>
      <c r="L76" s="30">
        <v>5.0000000000000001E-4</v>
      </c>
      <c r="M76" s="30">
        <v>0.48130000000000001</v>
      </c>
      <c r="N76" s="30">
        <v>0.16669999999999999</v>
      </c>
      <c r="O76">
        <v>2</v>
      </c>
      <c r="P76">
        <v>0</v>
      </c>
      <c r="Q76" s="30">
        <v>3.5000000000000001E-3</v>
      </c>
      <c r="R76" s="30">
        <v>0</v>
      </c>
      <c r="S76" s="31">
        <v>39.979999999999997</v>
      </c>
      <c r="T76" s="31">
        <v>0</v>
      </c>
      <c r="U76">
        <v>1</v>
      </c>
      <c r="V76">
        <v>0</v>
      </c>
      <c r="AA76" t="s">
        <v>869</v>
      </c>
      <c r="AB76">
        <v>2</v>
      </c>
      <c r="AC76" t="s">
        <v>869</v>
      </c>
      <c r="AD76" s="31">
        <v>39.979999999999997</v>
      </c>
      <c r="AE76" t="s">
        <v>869</v>
      </c>
      <c r="AF76">
        <v>578</v>
      </c>
      <c r="AG76" t="s">
        <v>869</v>
      </c>
      <c r="AH76" s="30">
        <v>0.48130000000000001</v>
      </c>
    </row>
    <row r="77" spans="1:34" x14ac:dyDescent="0.2">
      <c r="A77" t="s">
        <v>1918</v>
      </c>
      <c r="B77" t="s">
        <v>1976</v>
      </c>
      <c r="C77" t="s">
        <v>2016</v>
      </c>
      <c r="D77" t="s">
        <v>871</v>
      </c>
      <c r="E77">
        <v>186</v>
      </c>
      <c r="F77">
        <v>5</v>
      </c>
      <c r="G77" s="30">
        <v>1E-4</v>
      </c>
      <c r="H77" s="30">
        <v>2.0000000000000001E-4</v>
      </c>
      <c r="I77">
        <v>240</v>
      </c>
      <c r="J77">
        <v>9</v>
      </c>
      <c r="K77" s="30">
        <v>1E-4</v>
      </c>
      <c r="L77" s="30">
        <v>2.9999999999999997E-4</v>
      </c>
      <c r="M77" s="30">
        <v>9.8299999999999998E-2</v>
      </c>
      <c r="N77" s="30">
        <v>0</v>
      </c>
      <c r="O77">
        <v>3</v>
      </c>
      <c r="P77">
        <v>0</v>
      </c>
      <c r="Q77" s="30">
        <v>1.61E-2</v>
      </c>
      <c r="R77" s="30">
        <v>0</v>
      </c>
      <c r="S77" s="31">
        <v>59.97</v>
      </c>
      <c r="T77" s="31">
        <v>0</v>
      </c>
      <c r="U77">
        <v>3</v>
      </c>
      <c r="V77">
        <v>0</v>
      </c>
      <c r="AA77" t="s">
        <v>871</v>
      </c>
      <c r="AB77">
        <v>3</v>
      </c>
      <c r="AC77" t="s">
        <v>871</v>
      </c>
      <c r="AD77" s="31">
        <v>59.97</v>
      </c>
      <c r="AE77" t="s">
        <v>871</v>
      </c>
      <c r="AF77">
        <v>186</v>
      </c>
      <c r="AG77" t="s">
        <v>871</v>
      </c>
      <c r="AH77" s="30">
        <v>9.8299999999999998E-2</v>
      </c>
    </row>
    <row r="78" spans="1:34" x14ac:dyDescent="0.2">
      <c r="A78" t="s">
        <v>1918</v>
      </c>
      <c r="B78" t="s">
        <v>1657</v>
      </c>
      <c r="C78" t="s">
        <v>1658</v>
      </c>
      <c r="D78" t="s">
        <v>877</v>
      </c>
      <c r="E78">
        <v>258</v>
      </c>
      <c r="F78">
        <v>4</v>
      </c>
      <c r="G78" s="30">
        <v>2.0000000000000001E-4</v>
      </c>
      <c r="H78" s="30">
        <v>2.0000000000000001E-4</v>
      </c>
      <c r="I78">
        <v>383</v>
      </c>
      <c r="J78">
        <v>6</v>
      </c>
      <c r="K78" s="30">
        <v>2.0000000000000001E-4</v>
      </c>
      <c r="L78" s="30">
        <v>2.0000000000000001E-4</v>
      </c>
      <c r="M78" s="30">
        <v>3.4000000000000002E-2</v>
      </c>
      <c r="N78" s="30">
        <v>0</v>
      </c>
      <c r="O78">
        <v>2</v>
      </c>
      <c r="P78">
        <v>0</v>
      </c>
      <c r="Q78" s="30">
        <v>7.7999999999999996E-3</v>
      </c>
      <c r="R78" s="30">
        <v>0</v>
      </c>
      <c r="S78" s="31">
        <v>39.979999999999997</v>
      </c>
      <c r="T78" s="31">
        <v>0</v>
      </c>
      <c r="U78">
        <v>1</v>
      </c>
      <c r="V78">
        <v>0</v>
      </c>
      <c r="AA78" t="s">
        <v>877</v>
      </c>
      <c r="AB78">
        <v>2</v>
      </c>
      <c r="AC78" t="s">
        <v>877</v>
      </c>
      <c r="AD78" s="31">
        <v>39.979999999999997</v>
      </c>
      <c r="AE78" t="s">
        <v>877</v>
      </c>
      <c r="AF78">
        <v>258</v>
      </c>
      <c r="AG78" t="s">
        <v>877</v>
      </c>
      <c r="AH78" s="30">
        <v>3.4000000000000002E-2</v>
      </c>
    </row>
    <row r="79" spans="1:34" x14ac:dyDescent="0.2">
      <c r="A79" t="s">
        <v>1972</v>
      </c>
      <c r="B79" t="s">
        <v>1972</v>
      </c>
      <c r="C79" t="s">
        <v>1973</v>
      </c>
      <c r="D79" t="s">
        <v>879</v>
      </c>
      <c r="E79">
        <v>26</v>
      </c>
      <c r="F79">
        <v>0</v>
      </c>
      <c r="G79" s="30">
        <v>0</v>
      </c>
      <c r="H79" s="30">
        <v>0</v>
      </c>
      <c r="I79">
        <v>42</v>
      </c>
      <c r="J79">
        <v>0</v>
      </c>
      <c r="K79" s="30">
        <v>0</v>
      </c>
      <c r="L79" s="30">
        <v>0</v>
      </c>
      <c r="M79" s="30">
        <v>2.63E-2</v>
      </c>
      <c r="N79" s="30">
        <v>0</v>
      </c>
      <c r="O79">
        <v>4</v>
      </c>
      <c r="P79">
        <v>0</v>
      </c>
      <c r="Q79" s="30">
        <v>0.15379999999999999</v>
      </c>
      <c r="R79" s="30">
        <v>0</v>
      </c>
      <c r="S79" s="31">
        <v>79.959999999999994</v>
      </c>
      <c r="T79" s="31">
        <v>0</v>
      </c>
      <c r="U79">
        <v>1</v>
      </c>
      <c r="V79">
        <v>0</v>
      </c>
      <c r="AA79" t="s">
        <v>879</v>
      </c>
      <c r="AB79">
        <v>4</v>
      </c>
      <c r="AC79" t="s">
        <v>879</v>
      </c>
      <c r="AD79" s="31">
        <v>79.959999999999994</v>
      </c>
      <c r="AE79" t="s">
        <v>879</v>
      </c>
      <c r="AF79">
        <v>26</v>
      </c>
      <c r="AG79" t="s">
        <v>879</v>
      </c>
      <c r="AH79" s="30">
        <v>2.63E-2</v>
      </c>
    </row>
    <row r="80" spans="1:34" x14ac:dyDescent="0.2">
      <c r="A80" t="s">
        <v>1857</v>
      </c>
      <c r="B80" t="s">
        <v>1898</v>
      </c>
      <c r="C80" t="s">
        <v>1899</v>
      </c>
      <c r="D80" t="s">
        <v>886</v>
      </c>
      <c r="E80">
        <v>109</v>
      </c>
      <c r="F80">
        <v>2</v>
      </c>
      <c r="G80" s="30">
        <v>1E-4</v>
      </c>
      <c r="H80" s="30">
        <v>1E-4</v>
      </c>
      <c r="I80">
        <v>161</v>
      </c>
      <c r="J80">
        <v>2</v>
      </c>
      <c r="K80" s="30">
        <v>1E-4</v>
      </c>
      <c r="L80" s="30">
        <v>1E-4</v>
      </c>
      <c r="M80" s="30">
        <v>1</v>
      </c>
      <c r="N80" s="30">
        <v>1</v>
      </c>
      <c r="O80">
        <v>1</v>
      </c>
      <c r="P80">
        <v>0</v>
      </c>
      <c r="Q80" s="30">
        <v>9.1999999999999998E-3</v>
      </c>
      <c r="R80" s="30">
        <v>0</v>
      </c>
      <c r="S80" s="31">
        <v>19.5</v>
      </c>
      <c r="T80" s="31">
        <v>0</v>
      </c>
      <c r="U80">
        <v>1</v>
      </c>
      <c r="V80">
        <v>0</v>
      </c>
      <c r="AA80" t="s">
        <v>886</v>
      </c>
      <c r="AB80">
        <v>1</v>
      </c>
      <c r="AC80" t="s">
        <v>886</v>
      </c>
      <c r="AD80" s="31">
        <v>19.5</v>
      </c>
      <c r="AE80" t="s">
        <v>886</v>
      </c>
      <c r="AF80">
        <v>109</v>
      </c>
      <c r="AG80" t="s">
        <v>886</v>
      </c>
      <c r="AH80" s="30">
        <v>1</v>
      </c>
    </row>
    <row r="81" spans="1:34" x14ac:dyDescent="0.2">
      <c r="A81" t="s">
        <v>1685</v>
      </c>
      <c r="B81" t="s">
        <v>1915</v>
      </c>
      <c r="C81" t="s">
        <v>2209</v>
      </c>
      <c r="D81" t="s">
        <v>898</v>
      </c>
      <c r="E81">
        <v>74</v>
      </c>
      <c r="F81">
        <v>2</v>
      </c>
      <c r="G81" s="30">
        <v>0</v>
      </c>
      <c r="H81" s="30">
        <v>1E-4</v>
      </c>
      <c r="I81">
        <v>92</v>
      </c>
      <c r="J81">
        <v>4</v>
      </c>
      <c r="K81" s="30">
        <v>0</v>
      </c>
      <c r="L81" s="30">
        <v>1E-4</v>
      </c>
      <c r="M81" s="30">
        <v>0.625</v>
      </c>
      <c r="N81" s="30">
        <v>0</v>
      </c>
      <c r="O81">
        <v>10</v>
      </c>
      <c r="P81">
        <v>0</v>
      </c>
      <c r="Q81" s="30">
        <v>0.1351</v>
      </c>
      <c r="R81" s="30">
        <v>0</v>
      </c>
      <c r="S81" s="31">
        <v>199.9</v>
      </c>
      <c r="T81" s="31">
        <v>0</v>
      </c>
      <c r="U81">
        <v>5</v>
      </c>
      <c r="V81">
        <v>0</v>
      </c>
      <c r="AA81" t="s">
        <v>898</v>
      </c>
      <c r="AB81">
        <v>10</v>
      </c>
      <c r="AC81" t="s">
        <v>898</v>
      </c>
      <c r="AD81" s="31">
        <v>199.9</v>
      </c>
      <c r="AE81" t="s">
        <v>898</v>
      </c>
      <c r="AF81">
        <v>74</v>
      </c>
      <c r="AG81" t="s">
        <v>898</v>
      </c>
      <c r="AH81" s="30">
        <v>0.625</v>
      </c>
    </row>
    <row r="82" spans="1:34" x14ac:dyDescent="0.2">
      <c r="A82" t="s">
        <v>1205</v>
      </c>
      <c r="B82" t="s">
        <v>1712</v>
      </c>
      <c r="C82" t="s">
        <v>1713</v>
      </c>
      <c r="D82" t="s">
        <v>903</v>
      </c>
      <c r="E82">
        <v>55</v>
      </c>
      <c r="F82">
        <v>0</v>
      </c>
      <c r="G82" s="30">
        <v>0</v>
      </c>
      <c r="H82" s="30">
        <v>0</v>
      </c>
      <c r="I82">
        <v>72</v>
      </c>
      <c r="J82">
        <v>0</v>
      </c>
      <c r="K82" s="30">
        <v>0</v>
      </c>
      <c r="L82" s="30">
        <v>0</v>
      </c>
      <c r="M82" s="30">
        <v>0.2321</v>
      </c>
      <c r="N82" s="30">
        <v>0</v>
      </c>
      <c r="O82">
        <v>2</v>
      </c>
      <c r="P82">
        <v>0</v>
      </c>
      <c r="Q82" s="30">
        <v>3.6400000000000002E-2</v>
      </c>
      <c r="R82" s="30">
        <v>0</v>
      </c>
      <c r="S82" s="31">
        <v>43.98</v>
      </c>
      <c r="T82" s="31">
        <v>0</v>
      </c>
      <c r="U82">
        <v>2</v>
      </c>
      <c r="V82">
        <v>0</v>
      </c>
      <c r="AA82" t="s">
        <v>903</v>
      </c>
      <c r="AB82">
        <v>2</v>
      </c>
      <c r="AC82" t="s">
        <v>903</v>
      </c>
      <c r="AD82" s="31">
        <v>43.98</v>
      </c>
      <c r="AE82" t="s">
        <v>903</v>
      </c>
      <c r="AF82">
        <v>55</v>
      </c>
      <c r="AG82" t="s">
        <v>903</v>
      </c>
      <c r="AH82" s="30">
        <v>0.2321</v>
      </c>
    </row>
    <row r="83" spans="1:34" x14ac:dyDescent="0.2">
      <c r="A83" t="s">
        <v>1205</v>
      </c>
      <c r="B83" t="s">
        <v>2074</v>
      </c>
      <c r="C83" t="s">
        <v>2075</v>
      </c>
      <c r="D83" t="s">
        <v>905</v>
      </c>
      <c r="E83">
        <v>24</v>
      </c>
      <c r="F83">
        <v>0</v>
      </c>
      <c r="G83" s="30">
        <v>0</v>
      </c>
      <c r="H83" s="30">
        <v>0</v>
      </c>
      <c r="I83">
        <v>26</v>
      </c>
      <c r="J83">
        <v>0</v>
      </c>
      <c r="K83" s="30">
        <v>0</v>
      </c>
      <c r="L83" s="30">
        <v>0</v>
      </c>
      <c r="M83" s="30">
        <v>1</v>
      </c>
      <c r="N83" s="30">
        <v>0</v>
      </c>
      <c r="O83">
        <v>3</v>
      </c>
      <c r="P83">
        <v>0</v>
      </c>
      <c r="Q83" s="30">
        <v>0.125</v>
      </c>
      <c r="R83" s="30">
        <v>0</v>
      </c>
      <c r="S83" s="31">
        <v>65.97</v>
      </c>
      <c r="T83" s="31">
        <v>0</v>
      </c>
      <c r="U83">
        <v>2</v>
      </c>
      <c r="V83">
        <v>0</v>
      </c>
      <c r="AA83" t="s">
        <v>905</v>
      </c>
      <c r="AB83">
        <v>3</v>
      </c>
      <c r="AC83" t="s">
        <v>905</v>
      </c>
      <c r="AD83" s="31">
        <v>65.97</v>
      </c>
      <c r="AE83" t="s">
        <v>905</v>
      </c>
      <c r="AF83">
        <v>24</v>
      </c>
      <c r="AG83" t="s">
        <v>905</v>
      </c>
      <c r="AH83" s="30">
        <v>1</v>
      </c>
    </row>
    <row r="84" spans="1:34" x14ac:dyDescent="0.2">
      <c r="A84" t="s">
        <v>1919</v>
      </c>
      <c r="B84" t="s">
        <v>1186</v>
      </c>
      <c r="C84" t="s">
        <v>1997</v>
      </c>
      <c r="D84" t="s">
        <v>907</v>
      </c>
      <c r="E84">
        <v>124</v>
      </c>
      <c r="F84">
        <v>3</v>
      </c>
      <c r="G84" s="30">
        <v>1E-4</v>
      </c>
      <c r="H84" s="30">
        <v>1E-4</v>
      </c>
      <c r="I84">
        <v>169</v>
      </c>
      <c r="J84">
        <v>6</v>
      </c>
      <c r="K84" s="30">
        <v>1E-4</v>
      </c>
      <c r="L84" s="30">
        <v>2.0000000000000001E-4</v>
      </c>
      <c r="M84" s="30">
        <v>0.36049999999999999</v>
      </c>
      <c r="N84" s="30">
        <v>0</v>
      </c>
      <c r="O84">
        <v>6</v>
      </c>
      <c r="P84">
        <v>0</v>
      </c>
      <c r="Q84" s="30">
        <v>4.8399999999999999E-2</v>
      </c>
      <c r="R84" s="30">
        <v>0</v>
      </c>
      <c r="S84" s="31">
        <v>108</v>
      </c>
      <c r="T84" s="31">
        <v>0</v>
      </c>
      <c r="U84">
        <v>6</v>
      </c>
      <c r="V84">
        <v>0</v>
      </c>
      <c r="AA84" t="s">
        <v>907</v>
      </c>
      <c r="AB84">
        <v>6</v>
      </c>
      <c r="AC84" t="s">
        <v>907</v>
      </c>
      <c r="AD84" s="31">
        <v>108</v>
      </c>
      <c r="AE84" t="s">
        <v>907</v>
      </c>
      <c r="AF84">
        <v>124</v>
      </c>
      <c r="AG84" t="s">
        <v>907</v>
      </c>
      <c r="AH84" s="30">
        <v>0.36049999999999999</v>
      </c>
    </row>
    <row r="85" spans="1:34" x14ac:dyDescent="0.2">
      <c r="A85" t="s">
        <v>1919</v>
      </c>
      <c r="B85" t="s">
        <v>2076</v>
      </c>
      <c r="C85" t="s">
        <v>2077</v>
      </c>
      <c r="D85" t="s">
        <v>912</v>
      </c>
      <c r="E85">
        <v>114</v>
      </c>
      <c r="F85">
        <v>3</v>
      </c>
      <c r="G85" s="30">
        <v>1E-4</v>
      </c>
      <c r="H85" s="30">
        <v>1E-4</v>
      </c>
      <c r="I85">
        <v>155</v>
      </c>
      <c r="J85">
        <v>6</v>
      </c>
      <c r="K85" s="30">
        <v>1E-4</v>
      </c>
      <c r="L85" s="30">
        <v>2.0000000000000001E-4</v>
      </c>
      <c r="M85" s="30">
        <v>0.51680000000000004</v>
      </c>
      <c r="N85" s="30">
        <v>0</v>
      </c>
      <c r="O85">
        <v>13</v>
      </c>
      <c r="P85">
        <v>0</v>
      </c>
      <c r="Q85" s="30">
        <v>0.114</v>
      </c>
      <c r="R85" s="30">
        <v>0</v>
      </c>
      <c r="S85" s="31">
        <v>234</v>
      </c>
      <c r="T85" s="31">
        <v>0</v>
      </c>
      <c r="U85">
        <v>10</v>
      </c>
      <c r="V85">
        <v>0</v>
      </c>
      <c r="AA85" t="s">
        <v>912</v>
      </c>
      <c r="AB85">
        <v>13</v>
      </c>
      <c r="AC85" t="s">
        <v>912</v>
      </c>
      <c r="AD85" s="31">
        <v>234</v>
      </c>
      <c r="AE85" t="s">
        <v>912</v>
      </c>
      <c r="AF85">
        <v>114</v>
      </c>
      <c r="AG85" t="s">
        <v>912</v>
      </c>
      <c r="AH85" s="30">
        <v>0.51680000000000004</v>
      </c>
    </row>
    <row r="86" spans="1:34" x14ac:dyDescent="0.2">
      <c r="A86" t="s">
        <v>1919</v>
      </c>
      <c r="B86" t="s">
        <v>1188</v>
      </c>
      <c r="C86" t="s">
        <v>1945</v>
      </c>
      <c r="D86" t="s">
        <v>922</v>
      </c>
      <c r="E86">
        <v>128</v>
      </c>
      <c r="F86">
        <v>3</v>
      </c>
      <c r="G86" s="30">
        <v>1E-4</v>
      </c>
      <c r="H86" s="30">
        <v>1E-4</v>
      </c>
      <c r="I86">
        <v>196</v>
      </c>
      <c r="J86">
        <v>4</v>
      </c>
      <c r="K86" s="30">
        <v>1E-4</v>
      </c>
      <c r="L86" s="30">
        <v>1E-4</v>
      </c>
      <c r="M86" s="30">
        <v>0.58330000000000004</v>
      </c>
      <c r="N86" s="30">
        <v>0.5</v>
      </c>
      <c r="O86">
        <v>22</v>
      </c>
      <c r="P86">
        <v>0</v>
      </c>
      <c r="Q86" s="30">
        <v>0.1719</v>
      </c>
      <c r="R86" s="30">
        <v>0</v>
      </c>
      <c r="S86" s="31">
        <v>396</v>
      </c>
      <c r="T86" s="31">
        <v>0</v>
      </c>
      <c r="U86">
        <v>14</v>
      </c>
      <c r="V86">
        <v>0</v>
      </c>
      <c r="AA86" t="s">
        <v>922</v>
      </c>
      <c r="AB86">
        <v>22</v>
      </c>
      <c r="AC86" t="s">
        <v>922</v>
      </c>
      <c r="AD86" s="31">
        <v>396</v>
      </c>
      <c r="AE86" t="s">
        <v>922</v>
      </c>
      <c r="AF86">
        <v>128</v>
      </c>
      <c r="AG86" t="s">
        <v>922</v>
      </c>
      <c r="AH86" s="30">
        <v>0.58330000000000004</v>
      </c>
    </row>
    <row r="87" spans="1:34" x14ac:dyDescent="0.2">
      <c r="G87" s="30"/>
      <c r="H87" s="30"/>
      <c r="K87" s="30"/>
      <c r="L87" s="30"/>
      <c r="M87" s="30"/>
      <c r="N87" s="30"/>
      <c r="Q87" s="30"/>
      <c r="R87" s="30"/>
      <c r="S87" s="31"/>
      <c r="T87" s="31"/>
      <c r="AD87" s="31"/>
      <c r="AH87" s="30"/>
    </row>
    <row r="88" spans="1:34" x14ac:dyDescent="0.2">
      <c r="A88" t="s">
        <v>1917</v>
      </c>
      <c r="B88" t="s">
        <v>1920</v>
      </c>
      <c r="C88" t="s">
        <v>1921</v>
      </c>
      <c r="D88" t="s">
        <v>67</v>
      </c>
      <c r="E88">
        <v>70</v>
      </c>
      <c r="F88">
        <v>3</v>
      </c>
      <c r="G88" s="30">
        <v>0</v>
      </c>
      <c r="H88" s="30">
        <v>1E-4</v>
      </c>
      <c r="I88">
        <v>96</v>
      </c>
      <c r="J88">
        <v>6</v>
      </c>
      <c r="K88" s="30">
        <v>0</v>
      </c>
      <c r="L88" s="30">
        <v>2.0000000000000001E-4</v>
      </c>
      <c r="M88" s="30">
        <v>0.86519999999999997</v>
      </c>
      <c r="N88" s="30">
        <v>1</v>
      </c>
      <c r="O88">
        <v>7</v>
      </c>
      <c r="P88">
        <v>0</v>
      </c>
      <c r="Q88" s="30">
        <v>0.1</v>
      </c>
      <c r="R88" s="30">
        <v>0</v>
      </c>
      <c r="S88" s="31">
        <v>126</v>
      </c>
      <c r="T88" s="31">
        <v>0</v>
      </c>
      <c r="U88">
        <v>6</v>
      </c>
      <c r="V88">
        <v>0</v>
      </c>
      <c r="AA88" t="s">
        <v>67</v>
      </c>
      <c r="AB88">
        <v>7</v>
      </c>
      <c r="AC88" t="s">
        <v>67</v>
      </c>
      <c r="AD88" s="31">
        <v>126</v>
      </c>
      <c r="AE88" t="s">
        <v>67</v>
      </c>
      <c r="AF88">
        <v>70</v>
      </c>
      <c r="AG88" t="s">
        <v>67</v>
      </c>
      <c r="AH88" s="30">
        <v>0.86519999999999997</v>
      </c>
    </row>
    <row r="89" spans="1:34" x14ac:dyDescent="0.2">
      <c r="A89" t="s">
        <v>1917</v>
      </c>
      <c r="B89" t="s">
        <v>2048</v>
      </c>
      <c r="C89" t="s">
        <v>2049</v>
      </c>
      <c r="D89" t="s">
        <v>70</v>
      </c>
      <c r="E89">
        <v>60</v>
      </c>
      <c r="F89">
        <v>0</v>
      </c>
      <c r="G89" s="30">
        <v>0</v>
      </c>
      <c r="H89" s="30">
        <v>0</v>
      </c>
      <c r="I89">
        <v>86</v>
      </c>
      <c r="J89">
        <v>0</v>
      </c>
      <c r="K89" s="30">
        <v>0</v>
      </c>
      <c r="L89" s="30">
        <v>0</v>
      </c>
      <c r="M89" s="30">
        <v>0.61539999999999995</v>
      </c>
      <c r="N89" s="30">
        <v>0</v>
      </c>
      <c r="O89">
        <v>10</v>
      </c>
      <c r="P89">
        <v>0</v>
      </c>
      <c r="Q89" s="30">
        <v>0.16669999999999999</v>
      </c>
      <c r="R89" s="30">
        <v>0</v>
      </c>
      <c r="S89" s="31">
        <v>180</v>
      </c>
      <c r="T89" s="31">
        <v>0</v>
      </c>
      <c r="U89">
        <v>4</v>
      </c>
      <c r="V89">
        <v>0</v>
      </c>
      <c r="AA89" t="s">
        <v>70</v>
      </c>
      <c r="AB89">
        <v>10</v>
      </c>
      <c r="AC89" t="s">
        <v>70</v>
      </c>
      <c r="AD89" s="31">
        <v>180</v>
      </c>
      <c r="AE89" t="s">
        <v>70</v>
      </c>
      <c r="AF89">
        <v>60</v>
      </c>
      <c r="AG89" t="s">
        <v>70</v>
      </c>
      <c r="AH89" s="30">
        <v>0.61539999999999995</v>
      </c>
    </row>
    <row r="90" spans="1:34" x14ac:dyDescent="0.2">
      <c r="A90" t="s">
        <v>2025</v>
      </c>
      <c r="B90" t="s">
        <v>2210</v>
      </c>
      <c r="C90" t="s">
        <v>2211</v>
      </c>
      <c r="D90" t="s">
        <v>79</v>
      </c>
      <c r="E90">
        <v>28</v>
      </c>
      <c r="F90">
        <v>0</v>
      </c>
      <c r="G90" s="30">
        <v>0</v>
      </c>
      <c r="H90" s="30">
        <v>0</v>
      </c>
      <c r="I90">
        <v>38</v>
      </c>
      <c r="J90">
        <v>0</v>
      </c>
      <c r="K90" s="30">
        <v>0</v>
      </c>
      <c r="L90" s="30">
        <v>0</v>
      </c>
      <c r="M90" s="30">
        <v>0.5484</v>
      </c>
      <c r="N90" s="30">
        <v>0</v>
      </c>
      <c r="O90">
        <v>1</v>
      </c>
      <c r="P90">
        <v>0</v>
      </c>
      <c r="Q90" s="30">
        <v>3.5700000000000003E-2</v>
      </c>
      <c r="R90" s="30">
        <v>0</v>
      </c>
      <c r="S90" s="31">
        <v>18</v>
      </c>
      <c r="T90" s="31">
        <v>0</v>
      </c>
      <c r="U90">
        <v>1</v>
      </c>
      <c r="V90">
        <v>0</v>
      </c>
      <c r="AA90" t="s">
        <v>79</v>
      </c>
      <c r="AB90">
        <v>1</v>
      </c>
      <c r="AC90" t="s">
        <v>79</v>
      </c>
      <c r="AD90" s="31">
        <v>18</v>
      </c>
      <c r="AE90" t="s">
        <v>79</v>
      </c>
      <c r="AF90">
        <v>28</v>
      </c>
      <c r="AG90" t="s">
        <v>79</v>
      </c>
      <c r="AH90" s="30">
        <v>0.5484</v>
      </c>
    </row>
    <row r="91" spans="1:34" x14ac:dyDescent="0.2">
      <c r="A91" t="s">
        <v>1673</v>
      </c>
      <c r="B91" t="s">
        <v>2136</v>
      </c>
      <c r="C91" t="s">
        <v>2137</v>
      </c>
      <c r="D91" t="s">
        <v>93</v>
      </c>
      <c r="E91">
        <v>69</v>
      </c>
      <c r="F91">
        <v>1</v>
      </c>
      <c r="G91" s="30">
        <v>0</v>
      </c>
      <c r="H91" s="30">
        <v>0</v>
      </c>
      <c r="I91">
        <v>101</v>
      </c>
      <c r="J91">
        <v>2</v>
      </c>
      <c r="K91" s="30">
        <v>0</v>
      </c>
      <c r="L91" s="30">
        <v>1E-4</v>
      </c>
      <c r="M91" s="30">
        <v>1</v>
      </c>
      <c r="N91" s="30">
        <v>0</v>
      </c>
      <c r="O91">
        <v>11</v>
      </c>
      <c r="P91">
        <v>0</v>
      </c>
      <c r="Q91" s="30">
        <v>0.15939999999999999</v>
      </c>
      <c r="R91" s="30">
        <v>0</v>
      </c>
      <c r="S91" s="31">
        <v>219.89</v>
      </c>
      <c r="T91" s="31">
        <v>0</v>
      </c>
      <c r="U91">
        <v>8</v>
      </c>
      <c r="V91">
        <v>0</v>
      </c>
      <c r="AA91" t="s">
        <v>93</v>
      </c>
      <c r="AB91">
        <v>11</v>
      </c>
      <c r="AC91" t="s">
        <v>93</v>
      </c>
      <c r="AD91" s="31">
        <v>219.89</v>
      </c>
      <c r="AE91" t="s">
        <v>93</v>
      </c>
      <c r="AF91">
        <v>69</v>
      </c>
      <c r="AG91" t="s">
        <v>93</v>
      </c>
      <c r="AH91" s="30">
        <v>1</v>
      </c>
    </row>
    <row r="92" spans="1:34" x14ac:dyDescent="0.2">
      <c r="A92" t="s">
        <v>1673</v>
      </c>
      <c r="B92" t="s">
        <v>2212</v>
      </c>
      <c r="C92" t="s">
        <v>2213</v>
      </c>
      <c r="D92" t="s">
        <v>1648</v>
      </c>
      <c r="E92">
        <v>103</v>
      </c>
      <c r="F92">
        <v>1</v>
      </c>
      <c r="G92" s="30">
        <v>1E-4</v>
      </c>
      <c r="H92" s="30">
        <v>0</v>
      </c>
      <c r="I92">
        <v>133</v>
      </c>
      <c r="J92">
        <v>1</v>
      </c>
      <c r="K92" s="30">
        <v>1E-4</v>
      </c>
      <c r="L92" s="30">
        <v>0</v>
      </c>
      <c r="M92" s="30">
        <v>0.7823</v>
      </c>
      <c r="N92" s="30">
        <v>0</v>
      </c>
      <c r="O92">
        <v>12</v>
      </c>
      <c r="P92">
        <v>0</v>
      </c>
      <c r="Q92" s="30">
        <v>0.11650000000000001</v>
      </c>
      <c r="R92" s="30">
        <v>0</v>
      </c>
      <c r="S92" s="31">
        <v>239.88</v>
      </c>
      <c r="T92" s="31">
        <v>0</v>
      </c>
      <c r="U92">
        <v>6</v>
      </c>
      <c r="V92">
        <v>0</v>
      </c>
      <c r="AA92" t="s">
        <v>1648</v>
      </c>
      <c r="AB92">
        <v>12</v>
      </c>
      <c r="AC92" t="s">
        <v>1648</v>
      </c>
      <c r="AD92" s="31">
        <v>239.88</v>
      </c>
      <c r="AE92" t="s">
        <v>1648</v>
      </c>
      <c r="AF92">
        <v>103</v>
      </c>
      <c r="AG92" t="s">
        <v>1648</v>
      </c>
      <c r="AH92" s="30">
        <v>0.7823</v>
      </c>
    </row>
    <row r="93" spans="1:34" x14ac:dyDescent="0.2">
      <c r="A93" t="s">
        <v>1673</v>
      </c>
      <c r="B93" t="s">
        <v>2050</v>
      </c>
      <c r="C93" t="s">
        <v>2051</v>
      </c>
      <c r="D93" t="s">
        <v>98</v>
      </c>
      <c r="E93">
        <v>42</v>
      </c>
      <c r="F93">
        <v>0</v>
      </c>
      <c r="G93" s="30">
        <v>0</v>
      </c>
      <c r="H93" s="30">
        <v>0</v>
      </c>
      <c r="I93">
        <v>53</v>
      </c>
      <c r="J93">
        <v>0</v>
      </c>
      <c r="K93" s="30">
        <v>0</v>
      </c>
      <c r="L93" s="30">
        <v>0</v>
      </c>
      <c r="M93" s="30">
        <v>0.2157</v>
      </c>
      <c r="N93" s="30">
        <v>0</v>
      </c>
      <c r="O93">
        <v>4</v>
      </c>
      <c r="P93">
        <v>0</v>
      </c>
      <c r="Q93" s="30">
        <v>9.5200000000000007E-2</v>
      </c>
      <c r="R93" s="30">
        <v>0</v>
      </c>
      <c r="S93" s="31">
        <v>79.959999999999994</v>
      </c>
      <c r="T93" s="31">
        <v>0</v>
      </c>
      <c r="U93">
        <v>1</v>
      </c>
      <c r="V93">
        <v>0</v>
      </c>
      <c r="AA93" t="s">
        <v>98</v>
      </c>
      <c r="AB93">
        <v>4</v>
      </c>
      <c r="AC93" t="s">
        <v>98</v>
      </c>
      <c r="AD93" s="31">
        <v>79.959999999999994</v>
      </c>
      <c r="AE93" t="s">
        <v>98</v>
      </c>
      <c r="AF93">
        <v>42</v>
      </c>
      <c r="AG93" t="s">
        <v>98</v>
      </c>
      <c r="AH93" s="30">
        <v>0.2157</v>
      </c>
    </row>
    <row r="94" spans="1:34" x14ac:dyDescent="0.2">
      <c r="A94" t="s">
        <v>1673</v>
      </c>
      <c r="B94" t="s">
        <v>2214</v>
      </c>
      <c r="C94" t="s">
        <v>2215</v>
      </c>
      <c r="D94" t="s">
        <v>1649</v>
      </c>
      <c r="E94">
        <v>26</v>
      </c>
      <c r="F94">
        <v>0</v>
      </c>
      <c r="G94" s="30">
        <v>0</v>
      </c>
      <c r="H94" s="30">
        <v>0</v>
      </c>
      <c r="I94">
        <v>30</v>
      </c>
      <c r="J94">
        <v>0</v>
      </c>
      <c r="K94" s="30">
        <v>0</v>
      </c>
      <c r="L94" s="30">
        <v>0</v>
      </c>
      <c r="M94" s="30">
        <v>0.42859999999999998</v>
      </c>
      <c r="N94" s="30">
        <v>0</v>
      </c>
      <c r="O94">
        <v>1</v>
      </c>
      <c r="P94">
        <v>0</v>
      </c>
      <c r="Q94" s="30">
        <v>3.85E-2</v>
      </c>
      <c r="R94" s="30">
        <v>0</v>
      </c>
      <c r="S94" s="31">
        <v>19.989999999999998</v>
      </c>
      <c r="T94" s="31">
        <v>0</v>
      </c>
      <c r="U94">
        <v>1</v>
      </c>
      <c r="V94">
        <v>0</v>
      </c>
      <c r="AA94" t="s">
        <v>1649</v>
      </c>
      <c r="AB94">
        <v>1</v>
      </c>
      <c r="AC94" t="s">
        <v>1649</v>
      </c>
      <c r="AD94" s="31">
        <v>19.989999999999998</v>
      </c>
      <c r="AE94" t="s">
        <v>1649</v>
      </c>
      <c r="AF94">
        <v>26</v>
      </c>
      <c r="AG94" t="s">
        <v>1649</v>
      </c>
      <c r="AH94" s="30">
        <v>0.42859999999999998</v>
      </c>
    </row>
    <row r="95" spans="1:34" x14ac:dyDescent="0.2">
      <c r="A95" t="s">
        <v>1673</v>
      </c>
      <c r="B95" t="s">
        <v>956</v>
      </c>
      <c r="C95" t="s">
        <v>1674</v>
      </c>
      <c r="D95" t="s">
        <v>100</v>
      </c>
      <c r="E95">
        <v>25</v>
      </c>
      <c r="F95">
        <v>1</v>
      </c>
      <c r="G95" s="30">
        <v>0</v>
      </c>
      <c r="H95" s="30">
        <v>0</v>
      </c>
      <c r="I95">
        <v>31</v>
      </c>
      <c r="J95">
        <v>1</v>
      </c>
      <c r="K95" s="30">
        <v>0</v>
      </c>
      <c r="L95" s="30">
        <v>0</v>
      </c>
      <c r="M95" s="30">
        <v>0.3</v>
      </c>
      <c r="N95" s="30">
        <v>0</v>
      </c>
      <c r="O95">
        <v>1</v>
      </c>
      <c r="P95">
        <v>0</v>
      </c>
      <c r="Q95" s="30">
        <v>0.04</v>
      </c>
      <c r="R95" s="30">
        <v>0</v>
      </c>
      <c r="S95" s="31">
        <v>19.989999999999998</v>
      </c>
      <c r="T95" s="31">
        <v>0</v>
      </c>
      <c r="U95">
        <v>1</v>
      </c>
      <c r="V95">
        <v>0</v>
      </c>
      <c r="AA95" t="s">
        <v>100</v>
      </c>
      <c r="AB95">
        <v>1</v>
      </c>
      <c r="AC95" t="s">
        <v>100</v>
      </c>
      <c r="AD95" s="31">
        <v>19.989999999999998</v>
      </c>
      <c r="AE95" t="s">
        <v>100</v>
      </c>
      <c r="AF95">
        <v>25</v>
      </c>
      <c r="AG95" t="s">
        <v>100</v>
      </c>
      <c r="AH95" s="30">
        <v>0.3</v>
      </c>
    </row>
    <row r="96" spans="1:34" x14ac:dyDescent="0.2">
      <c r="A96" t="s">
        <v>1190</v>
      </c>
      <c r="B96" t="s">
        <v>1191</v>
      </c>
      <c r="C96" t="s">
        <v>1867</v>
      </c>
      <c r="D96" t="s">
        <v>109</v>
      </c>
      <c r="E96">
        <v>88</v>
      </c>
      <c r="F96">
        <v>0</v>
      </c>
      <c r="G96" s="30">
        <v>1E-4</v>
      </c>
      <c r="H96" s="30">
        <v>0</v>
      </c>
      <c r="I96">
        <v>146</v>
      </c>
      <c r="J96">
        <v>0</v>
      </c>
      <c r="K96" s="30">
        <v>1E-4</v>
      </c>
      <c r="L96" s="30">
        <v>0</v>
      </c>
      <c r="M96" s="30">
        <v>0.91159999999999997</v>
      </c>
      <c r="N96" s="30">
        <v>0</v>
      </c>
      <c r="O96">
        <v>32</v>
      </c>
      <c r="P96">
        <v>0</v>
      </c>
      <c r="Q96" s="30">
        <v>0.36359999999999998</v>
      </c>
      <c r="R96" s="30">
        <v>0</v>
      </c>
      <c r="S96" s="31">
        <v>703.68</v>
      </c>
      <c r="T96" s="31">
        <v>0</v>
      </c>
      <c r="U96">
        <v>14</v>
      </c>
      <c r="V96">
        <v>0</v>
      </c>
      <c r="AA96" t="s">
        <v>109</v>
      </c>
      <c r="AB96">
        <v>32</v>
      </c>
      <c r="AC96" t="s">
        <v>109</v>
      </c>
      <c r="AD96" s="31">
        <v>703.68</v>
      </c>
      <c r="AE96" t="s">
        <v>109</v>
      </c>
      <c r="AF96">
        <v>88</v>
      </c>
      <c r="AG96" t="s">
        <v>109</v>
      </c>
      <c r="AH96" s="30">
        <v>0.91159999999999997</v>
      </c>
    </row>
    <row r="97" spans="1:34" x14ac:dyDescent="0.2">
      <c r="A97" t="s">
        <v>1190</v>
      </c>
      <c r="B97" t="s">
        <v>1192</v>
      </c>
      <c r="C97" t="s">
        <v>1675</v>
      </c>
      <c r="D97" t="s">
        <v>113</v>
      </c>
      <c r="E97">
        <v>106</v>
      </c>
      <c r="F97">
        <v>1</v>
      </c>
      <c r="G97" s="30">
        <v>1E-4</v>
      </c>
      <c r="H97" s="30">
        <v>0</v>
      </c>
      <c r="I97">
        <v>169</v>
      </c>
      <c r="J97">
        <v>2</v>
      </c>
      <c r="K97" s="30">
        <v>1E-4</v>
      </c>
      <c r="L97" s="30">
        <v>1E-4</v>
      </c>
      <c r="M97" s="30">
        <v>0.19889999999999999</v>
      </c>
      <c r="N97" s="30">
        <v>0</v>
      </c>
      <c r="O97">
        <v>5</v>
      </c>
      <c r="P97">
        <v>0</v>
      </c>
      <c r="Q97" s="30">
        <v>4.7199999999999999E-2</v>
      </c>
      <c r="R97" s="30">
        <v>0</v>
      </c>
      <c r="S97" s="31">
        <v>109.95</v>
      </c>
      <c r="T97" s="31">
        <v>0</v>
      </c>
      <c r="U97">
        <v>4</v>
      </c>
      <c r="V97">
        <v>0</v>
      </c>
      <c r="AA97" t="s">
        <v>113</v>
      </c>
      <c r="AB97">
        <v>5</v>
      </c>
      <c r="AC97" t="s">
        <v>113</v>
      </c>
      <c r="AD97" s="31">
        <v>109.95</v>
      </c>
      <c r="AE97" t="s">
        <v>113</v>
      </c>
      <c r="AF97">
        <v>106</v>
      </c>
      <c r="AG97" t="s">
        <v>113</v>
      </c>
      <c r="AH97" s="30">
        <v>0.19889999999999999</v>
      </c>
    </row>
    <row r="98" spans="1:34" x14ac:dyDescent="0.2">
      <c r="A98" t="s">
        <v>1190</v>
      </c>
      <c r="B98" t="s">
        <v>1193</v>
      </c>
      <c r="C98" t="s">
        <v>1194</v>
      </c>
      <c r="D98" t="s">
        <v>115</v>
      </c>
      <c r="E98">
        <v>191</v>
      </c>
      <c r="F98">
        <v>2</v>
      </c>
      <c r="G98" s="30">
        <v>1E-4</v>
      </c>
      <c r="H98" s="30">
        <v>1E-4</v>
      </c>
      <c r="I98">
        <v>298</v>
      </c>
      <c r="J98">
        <v>3</v>
      </c>
      <c r="K98" s="30">
        <v>1E-4</v>
      </c>
      <c r="L98" s="30">
        <v>1E-4</v>
      </c>
      <c r="M98" s="30">
        <v>0.32219999999999999</v>
      </c>
      <c r="N98" s="30">
        <v>0</v>
      </c>
      <c r="O98">
        <v>2</v>
      </c>
      <c r="P98">
        <v>0</v>
      </c>
      <c r="Q98" s="30">
        <v>1.0500000000000001E-2</v>
      </c>
      <c r="R98" s="30">
        <v>0</v>
      </c>
      <c r="S98" s="31">
        <v>43.98</v>
      </c>
      <c r="T98" s="31">
        <v>0</v>
      </c>
      <c r="U98">
        <v>2</v>
      </c>
      <c r="V98">
        <v>0</v>
      </c>
      <c r="AA98" t="s">
        <v>115</v>
      </c>
      <c r="AB98">
        <v>2</v>
      </c>
      <c r="AC98" t="s">
        <v>115</v>
      </c>
      <c r="AD98" s="31">
        <v>43.98</v>
      </c>
      <c r="AE98" t="s">
        <v>115</v>
      </c>
      <c r="AF98">
        <v>191</v>
      </c>
      <c r="AG98" t="s">
        <v>115</v>
      </c>
      <c r="AH98" s="30">
        <v>0.32219999999999999</v>
      </c>
    </row>
    <row r="99" spans="1:34" x14ac:dyDescent="0.2">
      <c r="A99" t="s">
        <v>1698</v>
      </c>
      <c r="B99" t="s">
        <v>1699</v>
      </c>
      <c r="C99" t="s">
        <v>1700</v>
      </c>
      <c r="D99" t="s">
        <v>1072</v>
      </c>
      <c r="E99">
        <v>24</v>
      </c>
      <c r="F99">
        <v>0</v>
      </c>
      <c r="G99" s="30">
        <v>0</v>
      </c>
      <c r="H99" s="30">
        <v>0</v>
      </c>
      <c r="I99">
        <v>29</v>
      </c>
      <c r="J99">
        <v>0</v>
      </c>
      <c r="K99" s="30">
        <v>0</v>
      </c>
      <c r="L99" s="30">
        <v>0</v>
      </c>
      <c r="M99" s="30">
        <v>1</v>
      </c>
      <c r="N99" s="30">
        <v>0</v>
      </c>
      <c r="O99">
        <v>5</v>
      </c>
      <c r="P99">
        <v>0</v>
      </c>
      <c r="Q99" s="30">
        <v>0.20830000000000001</v>
      </c>
      <c r="R99" s="30">
        <v>0</v>
      </c>
      <c r="S99" s="31">
        <v>100</v>
      </c>
      <c r="T99" s="31">
        <v>0</v>
      </c>
      <c r="U99">
        <v>3</v>
      </c>
      <c r="V99">
        <v>0</v>
      </c>
      <c r="AA99" t="s">
        <v>1072</v>
      </c>
      <c r="AB99">
        <v>5</v>
      </c>
      <c r="AC99" t="s">
        <v>1072</v>
      </c>
      <c r="AD99" s="31">
        <v>100</v>
      </c>
      <c r="AE99" t="s">
        <v>1072</v>
      </c>
      <c r="AF99">
        <v>24</v>
      </c>
      <c r="AG99" t="s">
        <v>1072</v>
      </c>
      <c r="AH99" s="30">
        <v>1</v>
      </c>
    </row>
    <row r="100" spans="1:34" x14ac:dyDescent="0.2">
      <c r="A100" t="s">
        <v>1652</v>
      </c>
      <c r="B100" t="s">
        <v>2216</v>
      </c>
      <c r="C100" t="s">
        <v>2217</v>
      </c>
      <c r="D100" t="s">
        <v>213</v>
      </c>
      <c r="E100">
        <v>9</v>
      </c>
      <c r="F100">
        <v>0</v>
      </c>
      <c r="G100" s="30">
        <v>0</v>
      </c>
      <c r="H100" s="30">
        <v>0</v>
      </c>
      <c r="I100">
        <v>10</v>
      </c>
      <c r="J100">
        <v>0</v>
      </c>
      <c r="K100" s="30">
        <v>0</v>
      </c>
      <c r="L100" s="30">
        <v>0</v>
      </c>
      <c r="M100" s="30">
        <v>0.9</v>
      </c>
      <c r="N100" s="30">
        <v>0</v>
      </c>
      <c r="O100">
        <v>2</v>
      </c>
      <c r="P100">
        <v>0</v>
      </c>
      <c r="Q100" s="30">
        <v>0.22220000000000001</v>
      </c>
      <c r="R100" s="30">
        <v>0</v>
      </c>
      <c r="S100" s="31">
        <v>38</v>
      </c>
      <c r="T100" s="31">
        <v>0</v>
      </c>
      <c r="U100">
        <v>1</v>
      </c>
      <c r="V100">
        <v>0</v>
      </c>
      <c r="AA100" t="s">
        <v>213</v>
      </c>
      <c r="AB100">
        <v>2</v>
      </c>
      <c r="AC100" t="s">
        <v>213</v>
      </c>
      <c r="AD100" s="31">
        <v>38</v>
      </c>
      <c r="AE100" t="s">
        <v>213</v>
      </c>
      <c r="AF100">
        <v>9</v>
      </c>
      <c r="AG100" t="s">
        <v>213</v>
      </c>
      <c r="AH100" s="30">
        <v>0.9</v>
      </c>
    </row>
    <row r="101" spans="1:34" x14ac:dyDescent="0.2">
      <c r="A101" t="s">
        <v>1652</v>
      </c>
      <c r="B101" t="s">
        <v>1963</v>
      </c>
      <c r="C101" t="s">
        <v>1964</v>
      </c>
      <c r="D101" t="s">
        <v>227</v>
      </c>
      <c r="E101">
        <v>21</v>
      </c>
      <c r="F101">
        <v>0</v>
      </c>
      <c r="G101" s="30">
        <v>0</v>
      </c>
      <c r="H101" s="30">
        <v>0</v>
      </c>
      <c r="I101">
        <v>23</v>
      </c>
      <c r="J101">
        <v>0</v>
      </c>
      <c r="K101" s="30">
        <v>0</v>
      </c>
      <c r="L101" s="30">
        <v>0</v>
      </c>
      <c r="M101" s="30">
        <v>1</v>
      </c>
      <c r="N101" s="30">
        <v>0</v>
      </c>
      <c r="O101">
        <v>1</v>
      </c>
      <c r="P101">
        <v>0</v>
      </c>
      <c r="Q101" s="30">
        <v>4.7600000000000003E-2</v>
      </c>
      <c r="R101" s="30">
        <v>0</v>
      </c>
      <c r="S101" s="31">
        <v>19</v>
      </c>
      <c r="T101" s="31">
        <v>0</v>
      </c>
      <c r="U101">
        <v>1</v>
      </c>
      <c r="V101">
        <v>0</v>
      </c>
      <c r="AA101" t="s">
        <v>227</v>
      </c>
      <c r="AB101">
        <v>1</v>
      </c>
      <c r="AC101" t="s">
        <v>227</v>
      </c>
      <c r="AD101" s="31">
        <v>19</v>
      </c>
      <c r="AE101" t="s">
        <v>227</v>
      </c>
      <c r="AF101">
        <v>21</v>
      </c>
      <c r="AG101" t="s">
        <v>227</v>
      </c>
      <c r="AH101" s="30">
        <v>1</v>
      </c>
    </row>
    <row r="102" spans="1:34" x14ac:dyDescent="0.2">
      <c r="A102" t="s">
        <v>1652</v>
      </c>
      <c r="B102" t="s">
        <v>2218</v>
      </c>
      <c r="C102" t="s">
        <v>2219</v>
      </c>
      <c r="D102" t="s">
        <v>230</v>
      </c>
      <c r="E102">
        <v>8</v>
      </c>
      <c r="F102">
        <v>0</v>
      </c>
      <c r="G102" s="30">
        <v>0</v>
      </c>
      <c r="H102" s="30">
        <v>0</v>
      </c>
      <c r="I102">
        <v>9</v>
      </c>
      <c r="J102">
        <v>0</v>
      </c>
      <c r="K102" s="30">
        <v>0</v>
      </c>
      <c r="L102" s="30">
        <v>0</v>
      </c>
      <c r="M102" s="30">
        <v>1</v>
      </c>
      <c r="N102" s="30">
        <v>0</v>
      </c>
      <c r="O102">
        <v>1</v>
      </c>
      <c r="P102">
        <v>0</v>
      </c>
      <c r="Q102" s="30">
        <v>0.125</v>
      </c>
      <c r="R102" s="30">
        <v>0</v>
      </c>
      <c r="S102" s="31">
        <v>19</v>
      </c>
      <c r="T102" s="31">
        <v>0</v>
      </c>
      <c r="U102">
        <v>1</v>
      </c>
      <c r="V102">
        <v>0</v>
      </c>
      <c r="AA102" t="s">
        <v>230</v>
      </c>
      <c r="AB102">
        <v>1</v>
      </c>
      <c r="AC102" t="s">
        <v>230</v>
      </c>
      <c r="AD102" s="31">
        <v>19</v>
      </c>
      <c r="AE102" t="s">
        <v>230</v>
      </c>
      <c r="AF102">
        <v>8</v>
      </c>
      <c r="AG102" t="s">
        <v>230</v>
      </c>
      <c r="AH102" s="30">
        <v>1</v>
      </c>
    </row>
    <row r="103" spans="1:34" x14ac:dyDescent="0.2">
      <c r="A103" t="s">
        <v>1653</v>
      </c>
      <c r="B103" t="s">
        <v>1862</v>
      </c>
      <c r="C103" t="s">
        <v>1863</v>
      </c>
      <c r="D103" t="s">
        <v>242</v>
      </c>
      <c r="E103">
        <v>20</v>
      </c>
      <c r="F103">
        <v>1</v>
      </c>
      <c r="G103" s="30">
        <v>0</v>
      </c>
      <c r="H103" s="30">
        <v>0</v>
      </c>
      <c r="I103">
        <v>23</v>
      </c>
      <c r="J103">
        <v>1</v>
      </c>
      <c r="K103" s="30">
        <v>0</v>
      </c>
      <c r="L103" s="30">
        <v>0</v>
      </c>
      <c r="M103" s="30">
        <v>1</v>
      </c>
      <c r="N103" s="30">
        <v>1</v>
      </c>
      <c r="O103">
        <v>1</v>
      </c>
      <c r="P103">
        <v>0</v>
      </c>
      <c r="Q103" s="30">
        <v>0.05</v>
      </c>
      <c r="R103" s="30">
        <v>0</v>
      </c>
      <c r="S103" s="31">
        <v>19.989999999999998</v>
      </c>
      <c r="T103" s="31">
        <v>0</v>
      </c>
      <c r="U103">
        <v>1</v>
      </c>
      <c r="V103">
        <v>0</v>
      </c>
      <c r="AA103" t="s">
        <v>242</v>
      </c>
      <c r="AB103">
        <v>1</v>
      </c>
      <c r="AC103" t="s">
        <v>242</v>
      </c>
      <c r="AD103" s="31">
        <v>19.989999999999998</v>
      </c>
      <c r="AE103" t="s">
        <v>242</v>
      </c>
      <c r="AF103">
        <v>20</v>
      </c>
      <c r="AG103" t="s">
        <v>242</v>
      </c>
      <c r="AH103" s="30">
        <v>1</v>
      </c>
    </row>
    <row r="104" spans="1:34" x14ac:dyDescent="0.2">
      <c r="A104" t="s">
        <v>1145</v>
      </c>
      <c r="B104" t="s">
        <v>1146</v>
      </c>
      <c r="C104" t="s">
        <v>1147</v>
      </c>
      <c r="D104" t="s">
        <v>250</v>
      </c>
      <c r="E104">
        <v>332</v>
      </c>
      <c r="F104">
        <v>6</v>
      </c>
      <c r="G104" s="30">
        <v>2.0000000000000001E-4</v>
      </c>
      <c r="H104" s="30">
        <v>2.0000000000000001E-4</v>
      </c>
      <c r="I104">
        <v>459</v>
      </c>
      <c r="J104">
        <v>7</v>
      </c>
      <c r="K104" s="30">
        <v>2.0000000000000001E-4</v>
      </c>
      <c r="L104" s="30">
        <v>2.0000000000000001E-4</v>
      </c>
      <c r="M104" s="30">
        <v>0.97689999999999999</v>
      </c>
      <c r="N104" s="30">
        <v>1</v>
      </c>
      <c r="O104">
        <v>101</v>
      </c>
      <c r="P104">
        <v>0</v>
      </c>
      <c r="Q104" s="30">
        <v>0.30420000000000003</v>
      </c>
      <c r="R104" s="30">
        <v>0</v>
      </c>
      <c r="S104" s="31">
        <v>2119.9899999999998</v>
      </c>
      <c r="T104" s="31">
        <v>0</v>
      </c>
      <c r="U104">
        <v>60</v>
      </c>
      <c r="V104">
        <v>0</v>
      </c>
      <c r="AA104" t="s">
        <v>250</v>
      </c>
      <c r="AB104">
        <v>101</v>
      </c>
      <c r="AC104" t="s">
        <v>250</v>
      </c>
      <c r="AD104" s="31">
        <v>2119.9899999999998</v>
      </c>
      <c r="AE104" t="s">
        <v>250</v>
      </c>
      <c r="AF104">
        <v>332</v>
      </c>
      <c r="AG104" t="s">
        <v>250</v>
      </c>
      <c r="AH104" s="30">
        <v>0.97689999999999999</v>
      </c>
    </row>
    <row r="105" spans="1:34" x14ac:dyDescent="0.2">
      <c r="A105" t="s">
        <v>1708</v>
      </c>
      <c r="B105" t="s">
        <v>1148</v>
      </c>
      <c r="C105" t="s">
        <v>1709</v>
      </c>
      <c r="D105" t="s">
        <v>252</v>
      </c>
      <c r="E105">
        <v>168</v>
      </c>
      <c r="F105">
        <v>4</v>
      </c>
      <c r="G105" s="30">
        <v>1E-4</v>
      </c>
      <c r="H105" s="30">
        <v>2.0000000000000001E-4</v>
      </c>
      <c r="I105">
        <v>240</v>
      </c>
      <c r="J105">
        <v>6</v>
      </c>
      <c r="K105" s="30">
        <v>1E-4</v>
      </c>
      <c r="L105" s="30">
        <v>2.0000000000000001E-4</v>
      </c>
      <c r="M105" s="30">
        <v>0.6905</v>
      </c>
      <c r="N105" s="30">
        <v>1</v>
      </c>
      <c r="O105">
        <v>39</v>
      </c>
      <c r="P105">
        <v>4</v>
      </c>
      <c r="Q105" s="30">
        <v>0.2321</v>
      </c>
      <c r="R105" s="30">
        <v>1</v>
      </c>
      <c r="S105" s="31">
        <v>818.61</v>
      </c>
      <c r="T105" s="31">
        <v>83.96</v>
      </c>
      <c r="U105">
        <v>19</v>
      </c>
      <c r="V105">
        <v>1</v>
      </c>
      <c r="AA105" t="s">
        <v>252</v>
      </c>
      <c r="AB105">
        <v>39</v>
      </c>
      <c r="AC105" t="s">
        <v>252</v>
      </c>
      <c r="AD105" s="31">
        <v>818.61</v>
      </c>
      <c r="AE105" t="s">
        <v>252</v>
      </c>
      <c r="AF105">
        <v>168</v>
      </c>
      <c r="AG105" t="s">
        <v>252</v>
      </c>
      <c r="AH105" s="30">
        <v>0.6905</v>
      </c>
    </row>
    <row r="106" spans="1:34" x14ac:dyDescent="0.2">
      <c r="A106" t="s">
        <v>2220</v>
      </c>
      <c r="B106" t="s">
        <v>2221</v>
      </c>
      <c r="C106" t="s">
        <v>2222</v>
      </c>
      <c r="D106" t="s">
        <v>1085</v>
      </c>
      <c r="E106">
        <v>25</v>
      </c>
      <c r="F106">
        <v>0</v>
      </c>
      <c r="G106" s="30">
        <v>0</v>
      </c>
      <c r="H106" s="30">
        <v>0</v>
      </c>
      <c r="I106">
        <v>37</v>
      </c>
      <c r="J106">
        <v>0</v>
      </c>
      <c r="K106" s="30">
        <v>0</v>
      </c>
      <c r="L106" s="30">
        <v>0</v>
      </c>
      <c r="M106" s="30">
        <v>1</v>
      </c>
      <c r="N106" s="30">
        <v>0</v>
      </c>
      <c r="O106">
        <v>1</v>
      </c>
      <c r="P106">
        <v>0</v>
      </c>
      <c r="Q106" s="30">
        <v>0.04</v>
      </c>
      <c r="R106" s="30">
        <v>0</v>
      </c>
      <c r="S106" s="31">
        <v>19</v>
      </c>
      <c r="T106" s="31">
        <v>0</v>
      </c>
      <c r="U106">
        <v>1</v>
      </c>
      <c r="V106">
        <v>0</v>
      </c>
      <c r="AA106" t="s">
        <v>1085</v>
      </c>
      <c r="AB106">
        <v>1</v>
      </c>
      <c r="AC106" t="s">
        <v>1085</v>
      </c>
      <c r="AD106" s="31">
        <v>19</v>
      </c>
      <c r="AE106" t="s">
        <v>1085</v>
      </c>
      <c r="AF106">
        <v>25</v>
      </c>
      <c r="AG106" t="s">
        <v>1085</v>
      </c>
      <c r="AH106" s="30">
        <v>1</v>
      </c>
    </row>
    <row r="107" spans="1:34" x14ac:dyDescent="0.2">
      <c r="A107" t="s">
        <v>1152</v>
      </c>
      <c r="B107" t="s">
        <v>1152</v>
      </c>
      <c r="C107" t="s">
        <v>1153</v>
      </c>
      <c r="D107" t="s">
        <v>297</v>
      </c>
      <c r="E107">
        <v>17</v>
      </c>
      <c r="F107">
        <v>1</v>
      </c>
      <c r="G107" s="30">
        <v>0</v>
      </c>
      <c r="H107" s="30">
        <v>0</v>
      </c>
      <c r="I107">
        <v>19</v>
      </c>
      <c r="J107">
        <v>1</v>
      </c>
      <c r="K107" s="30">
        <v>0</v>
      </c>
      <c r="L107" s="30">
        <v>0</v>
      </c>
      <c r="M107" s="30">
        <v>0.875</v>
      </c>
      <c r="N107" s="30">
        <v>0</v>
      </c>
      <c r="O107">
        <v>2</v>
      </c>
      <c r="P107">
        <v>0</v>
      </c>
      <c r="Q107" s="30">
        <v>0.1176</v>
      </c>
      <c r="R107" s="30">
        <v>0</v>
      </c>
      <c r="S107" s="31">
        <v>38</v>
      </c>
      <c r="T107" s="31">
        <v>0</v>
      </c>
      <c r="U107">
        <v>1</v>
      </c>
      <c r="V107">
        <v>0</v>
      </c>
      <c r="AA107" t="s">
        <v>297</v>
      </c>
      <c r="AB107">
        <v>2</v>
      </c>
      <c r="AC107" t="s">
        <v>297</v>
      </c>
      <c r="AD107" s="31">
        <v>38</v>
      </c>
      <c r="AE107" t="s">
        <v>297</v>
      </c>
      <c r="AF107">
        <v>17</v>
      </c>
      <c r="AG107" t="s">
        <v>297</v>
      </c>
      <c r="AH107" s="30">
        <v>0.875</v>
      </c>
    </row>
    <row r="108" spans="1:34" x14ac:dyDescent="0.2">
      <c r="A108" t="s">
        <v>2223</v>
      </c>
      <c r="B108" t="s">
        <v>2224</v>
      </c>
      <c r="C108" t="s">
        <v>2225</v>
      </c>
      <c r="D108" t="s">
        <v>301</v>
      </c>
      <c r="E108">
        <v>4</v>
      </c>
      <c r="F108">
        <v>0</v>
      </c>
      <c r="G108" s="30">
        <v>0</v>
      </c>
      <c r="H108" s="30">
        <v>0</v>
      </c>
      <c r="I108">
        <v>4</v>
      </c>
      <c r="J108">
        <v>0</v>
      </c>
      <c r="K108" s="30">
        <v>0</v>
      </c>
      <c r="L108" s="30">
        <v>0</v>
      </c>
      <c r="M108" s="30">
        <v>1</v>
      </c>
      <c r="N108" s="30">
        <v>0</v>
      </c>
      <c r="O108">
        <v>1</v>
      </c>
      <c r="P108">
        <v>0</v>
      </c>
      <c r="Q108" s="30">
        <v>0.25</v>
      </c>
      <c r="R108" s="30">
        <v>0</v>
      </c>
      <c r="S108" s="31">
        <v>20.99</v>
      </c>
      <c r="T108" s="31">
        <v>0</v>
      </c>
      <c r="U108">
        <v>1</v>
      </c>
      <c r="V108">
        <v>0</v>
      </c>
      <c r="AA108" t="s">
        <v>301</v>
      </c>
      <c r="AB108">
        <v>1</v>
      </c>
      <c r="AC108" t="s">
        <v>301</v>
      </c>
      <c r="AD108" s="31">
        <v>20.99</v>
      </c>
      <c r="AE108" t="s">
        <v>301</v>
      </c>
      <c r="AF108">
        <v>4</v>
      </c>
      <c r="AG108" t="s">
        <v>301</v>
      </c>
      <c r="AH108" s="30">
        <v>1</v>
      </c>
    </row>
    <row r="109" spans="1:34" x14ac:dyDescent="0.2">
      <c r="A109" t="s">
        <v>1901</v>
      </c>
      <c r="B109" t="s">
        <v>1901</v>
      </c>
      <c r="C109" t="s">
        <v>1902</v>
      </c>
      <c r="D109" t="s">
        <v>310</v>
      </c>
      <c r="E109">
        <v>31</v>
      </c>
      <c r="F109">
        <v>2</v>
      </c>
      <c r="G109" s="30">
        <v>0</v>
      </c>
      <c r="H109" s="30">
        <v>1E-4</v>
      </c>
      <c r="I109">
        <v>42</v>
      </c>
      <c r="J109">
        <v>5</v>
      </c>
      <c r="K109" s="30">
        <v>0</v>
      </c>
      <c r="L109" s="30">
        <v>2.0000000000000001E-4</v>
      </c>
      <c r="M109" s="30">
        <v>1</v>
      </c>
      <c r="N109" s="30">
        <v>1</v>
      </c>
      <c r="O109">
        <v>4</v>
      </c>
      <c r="P109">
        <v>0</v>
      </c>
      <c r="Q109" s="30">
        <v>0.129</v>
      </c>
      <c r="R109" s="30">
        <v>0</v>
      </c>
      <c r="S109" s="31">
        <v>83.96</v>
      </c>
      <c r="T109" s="31">
        <v>0</v>
      </c>
      <c r="U109">
        <v>1</v>
      </c>
      <c r="V109">
        <v>0</v>
      </c>
      <c r="AA109" t="s">
        <v>310</v>
      </c>
      <c r="AB109">
        <v>4</v>
      </c>
      <c r="AC109" t="s">
        <v>310</v>
      </c>
      <c r="AD109" s="31">
        <v>83.96</v>
      </c>
      <c r="AE109" t="s">
        <v>310</v>
      </c>
      <c r="AF109">
        <v>31</v>
      </c>
      <c r="AG109" t="s">
        <v>310</v>
      </c>
      <c r="AH109" s="30">
        <v>1</v>
      </c>
    </row>
    <row r="110" spans="1:34" x14ac:dyDescent="0.2">
      <c r="A110" t="s">
        <v>1875</v>
      </c>
      <c r="B110" t="s">
        <v>2226</v>
      </c>
      <c r="C110" t="s">
        <v>2227</v>
      </c>
      <c r="D110" t="s">
        <v>312</v>
      </c>
      <c r="E110">
        <v>57</v>
      </c>
      <c r="F110">
        <v>0</v>
      </c>
      <c r="G110" s="30">
        <v>0</v>
      </c>
      <c r="H110" s="30">
        <v>0</v>
      </c>
      <c r="I110">
        <v>78</v>
      </c>
      <c r="J110">
        <v>0</v>
      </c>
      <c r="K110" s="30">
        <v>0</v>
      </c>
      <c r="L110" s="30">
        <v>0</v>
      </c>
      <c r="M110" s="30">
        <v>0.66669999999999996</v>
      </c>
      <c r="N110" s="30">
        <v>0</v>
      </c>
      <c r="O110">
        <v>4</v>
      </c>
      <c r="P110">
        <v>0</v>
      </c>
      <c r="Q110" s="30">
        <v>7.0199999999999999E-2</v>
      </c>
      <c r="R110" s="30">
        <v>0</v>
      </c>
      <c r="S110" s="31">
        <v>83.96</v>
      </c>
      <c r="T110" s="31">
        <v>0</v>
      </c>
      <c r="U110">
        <v>3</v>
      </c>
      <c r="V110">
        <v>0</v>
      </c>
      <c r="AA110" t="s">
        <v>312</v>
      </c>
      <c r="AB110">
        <v>4</v>
      </c>
      <c r="AC110" t="s">
        <v>312</v>
      </c>
      <c r="AD110" s="31">
        <v>83.96</v>
      </c>
      <c r="AE110" t="s">
        <v>312</v>
      </c>
      <c r="AF110">
        <v>57</v>
      </c>
      <c r="AG110" t="s">
        <v>312</v>
      </c>
      <c r="AH110" s="30">
        <v>0.66669999999999996</v>
      </c>
    </row>
    <row r="111" spans="1:34" x14ac:dyDescent="0.2">
      <c r="A111" t="s">
        <v>1875</v>
      </c>
      <c r="B111" t="s">
        <v>1154</v>
      </c>
      <c r="C111" t="s">
        <v>1876</v>
      </c>
      <c r="D111" t="s">
        <v>314</v>
      </c>
      <c r="E111">
        <v>46</v>
      </c>
      <c r="F111">
        <v>2</v>
      </c>
      <c r="G111" s="30">
        <v>0</v>
      </c>
      <c r="H111" s="30">
        <v>1E-4</v>
      </c>
      <c r="I111">
        <v>63</v>
      </c>
      <c r="J111">
        <v>4</v>
      </c>
      <c r="K111" s="30">
        <v>0</v>
      </c>
      <c r="L111" s="30">
        <v>1E-4</v>
      </c>
      <c r="M111" s="30">
        <v>0.98280000000000001</v>
      </c>
      <c r="N111" s="30">
        <v>1</v>
      </c>
      <c r="O111">
        <v>17</v>
      </c>
      <c r="P111">
        <v>0</v>
      </c>
      <c r="Q111" s="30">
        <v>0.36959999999999998</v>
      </c>
      <c r="R111" s="30">
        <v>0</v>
      </c>
      <c r="S111" s="31">
        <v>356.83</v>
      </c>
      <c r="T111" s="31">
        <v>0</v>
      </c>
      <c r="U111">
        <v>8</v>
      </c>
      <c r="V111">
        <v>0</v>
      </c>
      <c r="AA111" t="s">
        <v>314</v>
      </c>
      <c r="AB111">
        <v>17</v>
      </c>
      <c r="AC111" t="s">
        <v>314</v>
      </c>
      <c r="AD111" s="31">
        <v>356.83</v>
      </c>
      <c r="AE111" t="s">
        <v>314</v>
      </c>
      <c r="AF111">
        <v>46</v>
      </c>
      <c r="AG111" t="s">
        <v>314</v>
      </c>
      <c r="AH111" s="30">
        <v>0.98280000000000001</v>
      </c>
    </row>
    <row r="112" spans="1:34" x14ac:dyDescent="0.2">
      <c r="A112" t="s">
        <v>1875</v>
      </c>
      <c r="B112" t="s">
        <v>1877</v>
      </c>
      <c r="C112" t="s">
        <v>1878</v>
      </c>
      <c r="D112" t="s">
        <v>316</v>
      </c>
      <c r="E112">
        <v>39</v>
      </c>
      <c r="F112">
        <v>1</v>
      </c>
      <c r="G112" s="30">
        <v>0</v>
      </c>
      <c r="H112" s="30">
        <v>0</v>
      </c>
      <c r="I112">
        <v>49</v>
      </c>
      <c r="J112">
        <v>2</v>
      </c>
      <c r="K112" s="30">
        <v>0</v>
      </c>
      <c r="L112" s="30">
        <v>1E-4</v>
      </c>
      <c r="M112" s="30">
        <v>0.97729999999999995</v>
      </c>
      <c r="N112" s="30">
        <v>1</v>
      </c>
      <c r="O112">
        <v>7</v>
      </c>
      <c r="P112">
        <v>0</v>
      </c>
      <c r="Q112" s="30">
        <v>0.17949999999999999</v>
      </c>
      <c r="R112" s="30">
        <v>0</v>
      </c>
      <c r="S112" s="31">
        <v>146.93</v>
      </c>
      <c r="T112" s="31">
        <v>0</v>
      </c>
      <c r="U112">
        <v>7</v>
      </c>
      <c r="V112">
        <v>0</v>
      </c>
      <c r="AA112" t="s">
        <v>316</v>
      </c>
      <c r="AB112">
        <v>7</v>
      </c>
      <c r="AC112" t="s">
        <v>316</v>
      </c>
      <c r="AD112" s="31">
        <v>146.93</v>
      </c>
      <c r="AE112" t="s">
        <v>316</v>
      </c>
      <c r="AF112">
        <v>39</v>
      </c>
      <c r="AG112" t="s">
        <v>316</v>
      </c>
      <c r="AH112" s="30">
        <v>0.97729999999999995</v>
      </c>
    </row>
    <row r="113" spans="1:34" x14ac:dyDescent="0.2">
      <c r="A113" t="s">
        <v>1155</v>
      </c>
      <c r="B113" t="s">
        <v>1156</v>
      </c>
      <c r="C113" t="s">
        <v>1879</v>
      </c>
      <c r="D113" t="s">
        <v>319</v>
      </c>
      <c r="E113">
        <v>110</v>
      </c>
      <c r="F113">
        <v>2</v>
      </c>
      <c r="G113" s="30">
        <v>1E-4</v>
      </c>
      <c r="H113" s="30">
        <v>1E-4</v>
      </c>
      <c r="I113">
        <v>160</v>
      </c>
      <c r="J113">
        <v>4</v>
      </c>
      <c r="K113" s="30">
        <v>1E-4</v>
      </c>
      <c r="L113" s="30">
        <v>1E-4</v>
      </c>
      <c r="M113" s="30">
        <v>0.8296</v>
      </c>
      <c r="N113" s="30">
        <v>0.25</v>
      </c>
      <c r="O113">
        <v>11</v>
      </c>
      <c r="P113">
        <v>0</v>
      </c>
      <c r="Q113" s="30">
        <v>0.1</v>
      </c>
      <c r="R113" s="30">
        <v>0</v>
      </c>
      <c r="S113" s="31">
        <v>219.89</v>
      </c>
      <c r="T113" s="31">
        <v>0</v>
      </c>
      <c r="U113">
        <v>5</v>
      </c>
      <c r="V113">
        <v>0</v>
      </c>
      <c r="AA113" t="s">
        <v>319</v>
      </c>
      <c r="AB113">
        <v>11</v>
      </c>
      <c r="AC113" t="s">
        <v>319</v>
      </c>
      <c r="AD113" s="31">
        <v>219.89</v>
      </c>
      <c r="AE113" t="s">
        <v>319</v>
      </c>
      <c r="AF113">
        <v>110</v>
      </c>
      <c r="AG113" t="s">
        <v>319</v>
      </c>
      <c r="AH113" s="30">
        <v>0.8296</v>
      </c>
    </row>
    <row r="114" spans="1:34" x14ac:dyDescent="0.2">
      <c r="A114" t="s">
        <v>1155</v>
      </c>
      <c r="B114" t="s">
        <v>1880</v>
      </c>
      <c r="C114" t="s">
        <v>1881</v>
      </c>
      <c r="D114" t="s">
        <v>323</v>
      </c>
      <c r="E114">
        <v>207</v>
      </c>
      <c r="F114">
        <v>3</v>
      </c>
      <c r="G114" s="30">
        <v>1E-4</v>
      </c>
      <c r="H114" s="30">
        <v>1E-4</v>
      </c>
      <c r="I114">
        <v>285</v>
      </c>
      <c r="J114">
        <v>4</v>
      </c>
      <c r="K114" s="30">
        <v>1E-4</v>
      </c>
      <c r="L114" s="30">
        <v>1E-4</v>
      </c>
      <c r="M114" s="30">
        <v>0.33860000000000001</v>
      </c>
      <c r="N114" s="30">
        <v>1</v>
      </c>
      <c r="O114">
        <v>13</v>
      </c>
      <c r="P114">
        <v>0</v>
      </c>
      <c r="Q114" s="30">
        <v>6.2799999999999995E-2</v>
      </c>
      <c r="R114" s="30">
        <v>0</v>
      </c>
      <c r="S114" s="31">
        <v>259.87</v>
      </c>
      <c r="T114" s="31">
        <v>0</v>
      </c>
      <c r="U114">
        <v>10</v>
      </c>
      <c r="V114">
        <v>0</v>
      </c>
      <c r="AA114" t="s">
        <v>323</v>
      </c>
      <c r="AB114">
        <v>13</v>
      </c>
      <c r="AC114" t="s">
        <v>323</v>
      </c>
      <c r="AD114" s="31">
        <v>259.87</v>
      </c>
      <c r="AE114" t="s">
        <v>323</v>
      </c>
      <c r="AF114">
        <v>207</v>
      </c>
      <c r="AG114" t="s">
        <v>323</v>
      </c>
      <c r="AH114" s="30">
        <v>0.33860000000000001</v>
      </c>
    </row>
    <row r="115" spans="1:34" x14ac:dyDescent="0.2">
      <c r="A115" t="s">
        <v>1155</v>
      </c>
      <c r="B115" t="s">
        <v>1960</v>
      </c>
      <c r="C115" t="s">
        <v>1961</v>
      </c>
      <c r="D115" t="s">
        <v>325</v>
      </c>
      <c r="E115">
        <v>139</v>
      </c>
      <c r="F115">
        <v>3</v>
      </c>
      <c r="G115" s="30">
        <v>1E-4</v>
      </c>
      <c r="H115" s="30">
        <v>1E-4</v>
      </c>
      <c r="I115">
        <v>195</v>
      </c>
      <c r="J115">
        <v>3</v>
      </c>
      <c r="K115" s="30">
        <v>1E-4</v>
      </c>
      <c r="L115" s="30">
        <v>1E-4</v>
      </c>
      <c r="M115" s="30">
        <v>0.57220000000000004</v>
      </c>
      <c r="N115" s="30">
        <v>1</v>
      </c>
      <c r="O115">
        <v>16</v>
      </c>
      <c r="P115">
        <v>1</v>
      </c>
      <c r="Q115" s="30">
        <v>0.11509999999999999</v>
      </c>
      <c r="R115" s="30">
        <v>0.33329999999999999</v>
      </c>
      <c r="S115" s="31">
        <v>319.83999999999997</v>
      </c>
      <c r="T115" s="31">
        <v>19.989999999999998</v>
      </c>
      <c r="U115">
        <v>10</v>
      </c>
      <c r="V115">
        <v>1</v>
      </c>
      <c r="AA115" t="s">
        <v>325</v>
      </c>
      <c r="AB115">
        <v>16</v>
      </c>
      <c r="AC115" t="s">
        <v>325</v>
      </c>
      <c r="AD115" s="31">
        <v>319.83999999999997</v>
      </c>
      <c r="AE115" t="s">
        <v>325</v>
      </c>
      <c r="AF115">
        <v>139</v>
      </c>
      <c r="AG115" t="s">
        <v>325</v>
      </c>
      <c r="AH115" s="30">
        <v>0.57220000000000004</v>
      </c>
    </row>
    <row r="116" spans="1:34" x14ac:dyDescent="0.2">
      <c r="A116" t="s">
        <v>1155</v>
      </c>
      <c r="B116" t="s">
        <v>1195</v>
      </c>
      <c r="C116" t="s">
        <v>1946</v>
      </c>
      <c r="D116" t="s">
        <v>333</v>
      </c>
      <c r="E116">
        <v>116</v>
      </c>
      <c r="F116">
        <v>2</v>
      </c>
      <c r="G116" s="30">
        <v>1E-4</v>
      </c>
      <c r="H116" s="30">
        <v>1E-4</v>
      </c>
      <c r="I116">
        <v>138</v>
      </c>
      <c r="J116">
        <v>2</v>
      </c>
      <c r="K116" s="30">
        <v>1E-4</v>
      </c>
      <c r="L116" s="30">
        <v>1E-4</v>
      </c>
      <c r="M116" s="30">
        <v>0.626</v>
      </c>
      <c r="N116" s="30">
        <v>1</v>
      </c>
      <c r="O116">
        <v>11</v>
      </c>
      <c r="P116">
        <v>0</v>
      </c>
      <c r="Q116" s="30">
        <v>9.4799999999999995E-2</v>
      </c>
      <c r="R116" s="30">
        <v>0</v>
      </c>
      <c r="S116" s="31">
        <v>219.89</v>
      </c>
      <c r="T116" s="31">
        <v>0</v>
      </c>
      <c r="U116">
        <v>5</v>
      </c>
      <c r="V116">
        <v>0</v>
      </c>
      <c r="AA116" t="s">
        <v>333</v>
      </c>
      <c r="AB116">
        <v>11</v>
      </c>
      <c r="AC116" t="s">
        <v>333</v>
      </c>
      <c r="AD116" s="31">
        <v>219.89</v>
      </c>
      <c r="AE116" t="s">
        <v>333</v>
      </c>
      <c r="AF116">
        <v>116</v>
      </c>
      <c r="AG116" t="s">
        <v>333</v>
      </c>
      <c r="AH116" s="30">
        <v>0.626</v>
      </c>
    </row>
    <row r="117" spans="1:34" x14ac:dyDescent="0.2">
      <c r="A117" t="s">
        <v>1155</v>
      </c>
      <c r="B117" t="s">
        <v>1948</v>
      </c>
      <c r="C117" t="s">
        <v>1949</v>
      </c>
      <c r="D117" t="s">
        <v>335</v>
      </c>
      <c r="E117">
        <v>90</v>
      </c>
      <c r="F117">
        <v>1</v>
      </c>
      <c r="G117" s="30">
        <v>1E-4</v>
      </c>
      <c r="H117" s="30">
        <v>0</v>
      </c>
      <c r="I117">
        <v>114</v>
      </c>
      <c r="J117">
        <v>2</v>
      </c>
      <c r="K117" s="30">
        <v>1E-4</v>
      </c>
      <c r="L117" s="30">
        <v>1E-4</v>
      </c>
      <c r="M117" s="30">
        <v>0.75239999999999996</v>
      </c>
      <c r="N117" s="30">
        <v>1</v>
      </c>
      <c r="O117">
        <v>12</v>
      </c>
      <c r="P117">
        <v>0</v>
      </c>
      <c r="Q117" s="30">
        <v>0.1333</v>
      </c>
      <c r="R117" s="30">
        <v>0</v>
      </c>
      <c r="S117" s="31">
        <v>239.88</v>
      </c>
      <c r="T117" s="31">
        <v>0</v>
      </c>
      <c r="U117">
        <v>7</v>
      </c>
      <c r="V117">
        <v>0</v>
      </c>
      <c r="AA117" t="s">
        <v>335</v>
      </c>
      <c r="AB117">
        <v>12</v>
      </c>
      <c r="AC117" t="s">
        <v>335</v>
      </c>
      <c r="AD117" s="31">
        <v>239.88</v>
      </c>
      <c r="AE117" t="s">
        <v>335</v>
      </c>
      <c r="AF117">
        <v>90</v>
      </c>
      <c r="AG117" t="s">
        <v>335</v>
      </c>
      <c r="AH117" s="30">
        <v>0.75239999999999996</v>
      </c>
    </row>
    <row r="118" spans="1:34" x14ac:dyDescent="0.2">
      <c r="A118" t="s">
        <v>1155</v>
      </c>
      <c r="B118" t="s">
        <v>2228</v>
      </c>
      <c r="C118" t="s">
        <v>2229</v>
      </c>
      <c r="D118" t="s">
        <v>342</v>
      </c>
      <c r="E118">
        <v>75</v>
      </c>
      <c r="F118">
        <v>0</v>
      </c>
      <c r="G118" s="30">
        <v>0</v>
      </c>
      <c r="H118" s="30">
        <v>0</v>
      </c>
      <c r="I118">
        <v>110</v>
      </c>
      <c r="J118">
        <v>0</v>
      </c>
      <c r="K118" s="30">
        <v>1E-4</v>
      </c>
      <c r="L118" s="30">
        <v>0</v>
      </c>
      <c r="M118" s="30">
        <v>0.56310000000000004</v>
      </c>
      <c r="N118" s="30">
        <v>0</v>
      </c>
      <c r="O118">
        <v>3</v>
      </c>
      <c r="P118">
        <v>0</v>
      </c>
      <c r="Q118" s="30">
        <v>0.04</v>
      </c>
      <c r="R118" s="30">
        <v>0</v>
      </c>
      <c r="S118" s="31">
        <v>59.97</v>
      </c>
      <c r="T118" s="31">
        <v>0</v>
      </c>
      <c r="U118">
        <v>2</v>
      </c>
      <c r="V118">
        <v>0</v>
      </c>
      <c r="AA118" t="s">
        <v>342</v>
      </c>
      <c r="AB118">
        <v>3</v>
      </c>
      <c r="AC118" t="s">
        <v>342</v>
      </c>
      <c r="AD118" s="31">
        <v>59.97</v>
      </c>
      <c r="AE118" t="s">
        <v>342</v>
      </c>
      <c r="AF118">
        <v>75</v>
      </c>
      <c r="AG118" t="s">
        <v>342</v>
      </c>
      <c r="AH118" s="30">
        <v>0.56310000000000004</v>
      </c>
    </row>
    <row r="119" spans="1:34" x14ac:dyDescent="0.2">
      <c r="A119" t="s">
        <v>1157</v>
      </c>
      <c r="B119" t="s">
        <v>2138</v>
      </c>
      <c r="C119" t="s">
        <v>2139</v>
      </c>
      <c r="D119" t="s">
        <v>344</v>
      </c>
      <c r="E119">
        <v>59</v>
      </c>
      <c r="F119">
        <v>1</v>
      </c>
      <c r="G119" s="30">
        <v>0</v>
      </c>
      <c r="H119" s="30">
        <v>0</v>
      </c>
      <c r="I119">
        <v>90</v>
      </c>
      <c r="J119">
        <v>3</v>
      </c>
      <c r="K119" s="30">
        <v>0</v>
      </c>
      <c r="L119" s="30">
        <v>1E-4</v>
      </c>
      <c r="M119" s="30">
        <v>0.47870000000000001</v>
      </c>
      <c r="N119" s="30">
        <v>0</v>
      </c>
      <c r="O119">
        <v>1</v>
      </c>
      <c r="P119">
        <v>0</v>
      </c>
      <c r="Q119" s="30">
        <v>1.6899999999999998E-2</v>
      </c>
      <c r="R119" s="30">
        <v>0</v>
      </c>
      <c r="S119" s="31">
        <v>25.99</v>
      </c>
      <c r="T119" s="31">
        <v>0</v>
      </c>
      <c r="U119">
        <v>1</v>
      </c>
      <c r="V119">
        <v>0</v>
      </c>
      <c r="AA119" t="s">
        <v>344</v>
      </c>
      <c r="AB119">
        <v>1</v>
      </c>
      <c r="AC119" t="s">
        <v>344</v>
      </c>
      <c r="AD119" s="31">
        <v>25.99</v>
      </c>
      <c r="AE119" t="s">
        <v>344</v>
      </c>
      <c r="AF119">
        <v>59</v>
      </c>
      <c r="AG119" t="s">
        <v>344</v>
      </c>
      <c r="AH119" s="30">
        <v>0.47870000000000001</v>
      </c>
    </row>
    <row r="120" spans="1:34" x14ac:dyDescent="0.2">
      <c r="A120" t="s">
        <v>1157</v>
      </c>
      <c r="B120" t="s">
        <v>2090</v>
      </c>
      <c r="C120" t="s">
        <v>2091</v>
      </c>
      <c r="D120" t="s">
        <v>347</v>
      </c>
      <c r="E120">
        <v>73</v>
      </c>
      <c r="F120">
        <v>2</v>
      </c>
      <c r="G120" s="30">
        <v>0</v>
      </c>
      <c r="H120" s="30">
        <v>1E-4</v>
      </c>
      <c r="I120">
        <v>96</v>
      </c>
      <c r="J120">
        <v>2</v>
      </c>
      <c r="K120" s="30">
        <v>0</v>
      </c>
      <c r="L120" s="30">
        <v>1E-4</v>
      </c>
      <c r="M120" s="30">
        <v>0.42530000000000001</v>
      </c>
      <c r="N120" s="30">
        <v>0</v>
      </c>
      <c r="O120">
        <v>2</v>
      </c>
      <c r="P120">
        <v>0</v>
      </c>
      <c r="Q120" s="30">
        <v>2.7400000000000001E-2</v>
      </c>
      <c r="R120" s="30">
        <v>0</v>
      </c>
      <c r="S120" s="31">
        <v>51.98</v>
      </c>
      <c r="T120" s="31">
        <v>0</v>
      </c>
      <c r="U120">
        <v>2</v>
      </c>
      <c r="V120">
        <v>0</v>
      </c>
      <c r="AA120" t="s">
        <v>347</v>
      </c>
      <c r="AB120">
        <v>2</v>
      </c>
      <c r="AC120" t="s">
        <v>347</v>
      </c>
      <c r="AD120" s="31">
        <v>51.98</v>
      </c>
      <c r="AE120" t="s">
        <v>347</v>
      </c>
      <c r="AF120">
        <v>73</v>
      </c>
      <c r="AG120" t="s">
        <v>347</v>
      </c>
      <c r="AH120" s="30">
        <v>0.42530000000000001</v>
      </c>
    </row>
    <row r="121" spans="1:34" x14ac:dyDescent="0.2">
      <c r="A121" t="s">
        <v>1157</v>
      </c>
      <c r="B121" t="s">
        <v>1158</v>
      </c>
      <c r="C121" t="s">
        <v>1985</v>
      </c>
      <c r="D121" t="s">
        <v>349</v>
      </c>
      <c r="E121">
        <v>41</v>
      </c>
      <c r="F121">
        <v>3</v>
      </c>
      <c r="G121" s="30">
        <v>0</v>
      </c>
      <c r="H121" s="30">
        <v>1E-4</v>
      </c>
      <c r="I121">
        <v>54</v>
      </c>
      <c r="J121">
        <v>3</v>
      </c>
      <c r="K121" s="30">
        <v>0</v>
      </c>
      <c r="L121" s="30">
        <v>1E-4</v>
      </c>
      <c r="M121" s="30">
        <v>0.42</v>
      </c>
      <c r="N121" s="30">
        <v>1</v>
      </c>
      <c r="O121">
        <v>12</v>
      </c>
      <c r="P121">
        <v>0</v>
      </c>
      <c r="Q121" s="30">
        <v>0.29270000000000002</v>
      </c>
      <c r="R121" s="30">
        <v>0</v>
      </c>
      <c r="S121" s="31">
        <v>311.88</v>
      </c>
      <c r="T121" s="31">
        <v>0</v>
      </c>
      <c r="U121">
        <v>5</v>
      </c>
      <c r="V121">
        <v>0</v>
      </c>
      <c r="AA121" t="s">
        <v>349</v>
      </c>
      <c r="AB121">
        <v>12</v>
      </c>
      <c r="AC121" t="s">
        <v>349</v>
      </c>
      <c r="AD121" s="31">
        <v>311.88</v>
      </c>
      <c r="AE121" t="s">
        <v>349</v>
      </c>
      <c r="AF121">
        <v>41</v>
      </c>
      <c r="AG121" t="s">
        <v>349</v>
      </c>
      <c r="AH121" s="30">
        <v>0.42</v>
      </c>
    </row>
    <row r="122" spans="1:34" x14ac:dyDescent="0.2">
      <c r="A122" t="s">
        <v>1157</v>
      </c>
      <c r="B122" t="s">
        <v>2230</v>
      </c>
      <c r="C122" t="s">
        <v>2231</v>
      </c>
      <c r="D122" t="s">
        <v>353</v>
      </c>
      <c r="E122">
        <v>68</v>
      </c>
      <c r="F122">
        <v>0</v>
      </c>
      <c r="G122" s="30">
        <v>0</v>
      </c>
      <c r="H122" s="30">
        <v>0</v>
      </c>
      <c r="I122">
        <v>84</v>
      </c>
      <c r="J122">
        <v>0</v>
      </c>
      <c r="K122" s="30">
        <v>0</v>
      </c>
      <c r="L122" s="30">
        <v>0</v>
      </c>
      <c r="M122" s="30">
        <v>0.67949999999999999</v>
      </c>
      <c r="N122" s="30">
        <v>0</v>
      </c>
      <c r="O122">
        <v>14</v>
      </c>
      <c r="P122">
        <v>0</v>
      </c>
      <c r="Q122" s="30">
        <v>0.2059</v>
      </c>
      <c r="R122" s="30">
        <v>0</v>
      </c>
      <c r="S122" s="31">
        <v>363.86</v>
      </c>
      <c r="T122" s="31">
        <v>0</v>
      </c>
      <c r="U122">
        <v>8</v>
      </c>
      <c r="V122">
        <v>0</v>
      </c>
      <c r="AA122" t="s">
        <v>353</v>
      </c>
      <c r="AB122">
        <v>14</v>
      </c>
      <c r="AC122" t="s">
        <v>353</v>
      </c>
      <c r="AD122" s="31">
        <v>363.86</v>
      </c>
      <c r="AE122" t="s">
        <v>353</v>
      </c>
      <c r="AF122">
        <v>68</v>
      </c>
      <c r="AG122" t="s">
        <v>353</v>
      </c>
      <c r="AH122" s="30">
        <v>0.67949999999999999</v>
      </c>
    </row>
    <row r="123" spans="1:34" x14ac:dyDescent="0.2">
      <c r="A123" t="s">
        <v>1157</v>
      </c>
      <c r="B123" t="s">
        <v>1710</v>
      </c>
      <c r="C123" t="s">
        <v>1711</v>
      </c>
      <c r="D123" t="s">
        <v>357</v>
      </c>
      <c r="E123">
        <v>49</v>
      </c>
      <c r="F123">
        <v>0</v>
      </c>
      <c r="G123" s="30">
        <v>0</v>
      </c>
      <c r="H123" s="30">
        <v>0</v>
      </c>
      <c r="I123">
        <v>67</v>
      </c>
      <c r="J123">
        <v>0</v>
      </c>
      <c r="K123" s="30">
        <v>0</v>
      </c>
      <c r="L123" s="30">
        <v>0</v>
      </c>
      <c r="M123" s="30">
        <v>0.9516</v>
      </c>
      <c r="N123" s="30">
        <v>0</v>
      </c>
      <c r="O123">
        <v>3</v>
      </c>
      <c r="P123">
        <v>0</v>
      </c>
      <c r="Q123" s="30">
        <v>6.1199999999999997E-2</v>
      </c>
      <c r="R123" s="30">
        <v>0</v>
      </c>
      <c r="S123" s="31">
        <v>77.97</v>
      </c>
      <c r="T123" s="31">
        <v>0</v>
      </c>
      <c r="U123">
        <v>3</v>
      </c>
      <c r="V123">
        <v>0</v>
      </c>
      <c r="AA123" t="s">
        <v>357</v>
      </c>
      <c r="AB123">
        <v>3</v>
      </c>
      <c r="AC123" t="s">
        <v>357</v>
      </c>
      <c r="AD123" s="31">
        <v>77.97</v>
      </c>
      <c r="AE123" t="s">
        <v>357</v>
      </c>
      <c r="AF123">
        <v>49</v>
      </c>
      <c r="AG123" t="s">
        <v>357</v>
      </c>
      <c r="AH123" s="30">
        <v>0.9516</v>
      </c>
    </row>
    <row r="124" spans="1:34" x14ac:dyDescent="0.2">
      <c r="A124" t="s">
        <v>1196</v>
      </c>
      <c r="B124" t="s">
        <v>2052</v>
      </c>
      <c r="C124" t="s">
        <v>2053</v>
      </c>
      <c r="D124" t="s">
        <v>1102</v>
      </c>
      <c r="E124">
        <v>18</v>
      </c>
      <c r="F124">
        <v>0</v>
      </c>
      <c r="G124" s="30">
        <v>0</v>
      </c>
      <c r="H124" s="30">
        <v>0</v>
      </c>
      <c r="I124">
        <v>19</v>
      </c>
      <c r="J124">
        <v>0</v>
      </c>
      <c r="K124" s="30">
        <v>0</v>
      </c>
      <c r="L124" s="30">
        <v>0</v>
      </c>
      <c r="M124" s="30">
        <v>1</v>
      </c>
      <c r="N124" s="30">
        <v>0</v>
      </c>
      <c r="O124">
        <v>1</v>
      </c>
      <c r="P124">
        <v>0</v>
      </c>
      <c r="Q124" s="30">
        <v>5.5599999999999997E-2</v>
      </c>
      <c r="R124" s="30">
        <v>0</v>
      </c>
      <c r="S124" s="31">
        <v>21.99</v>
      </c>
      <c r="T124" s="31">
        <v>0</v>
      </c>
      <c r="U124">
        <v>1</v>
      </c>
      <c r="V124">
        <v>0</v>
      </c>
      <c r="AA124" t="s">
        <v>1102</v>
      </c>
      <c r="AB124">
        <v>1</v>
      </c>
      <c r="AC124" t="s">
        <v>1102</v>
      </c>
      <c r="AD124" s="31">
        <v>21.99</v>
      </c>
      <c r="AE124" t="s">
        <v>1102</v>
      </c>
      <c r="AF124">
        <v>18</v>
      </c>
      <c r="AG124" t="s">
        <v>1102</v>
      </c>
      <c r="AH124" s="30">
        <v>1</v>
      </c>
    </row>
    <row r="125" spans="1:34" x14ac:dyDescent="0.2">
      <c r="A125" t="s">
        <v>2232</v>
      </c>
      <c r="B125" t="s">
        <v>2232</v>
      </c>
      <c r="C125" t="s">
        <v>2233</v>
      </c>
      <c r="D125" t="s">
        <v>1066</v>
      </c>
      <c r="E125">
        <v>21</v>
      </c>
      <c r="F125">
        <v>0</v>
      </c>
      <c r="G125" s="30">
        <v>0</v>
      </c>
      <c r="H125" s="30">
        <v>0</v>
      </c>
      <c r="I125">
        <v>30</v>
      </c>
      <c r="J125">
        <v>0</v>
      </c>
      <c r="K125" s="30">
        <v>0</v>
      </c>
      <c r="L125" s="30">
        <v>0</v>
      </c>
      <c r="M125" s="30">
        <v>1</v>
      </c>
      <c r="N125" s="30">
        <v>0</v>
      </c>
      <c r="O125">
        <v>1</v>
      </c>
      <c r="P125">
        <v>0</v>
      </c>
      <c r="Q125" s="30">
        <v>4.7600000000000003E-2</v>
      </c>
      <c r="R125" s="30">
        <v>0</v>
      </c>
      <c r="S125" s="31">
        <v>20</v>
      </c>
      <c r="T125" s="31">
        <v>0</v>
      </c>
      <c r="U125">
        <v>1</v>
      </c>
      <c r="V125">
        <v>0</v>
      </c>
      <c r="AA125" t="s">
        <v>1066</v>
      </c>
      <c r="AB125">
        <v>1</v>
      </c>
      <c r="AC125" t="s">
        <v>1066</v>
      </c>
      <c r="AD125" s="31">
        <v>20</v>
      </c>
      <c r="AE125" t="s">
        <v>1066</v>
      </c>
      <c r="AF125">
        <v>21</v>
      </c>
      <c r="AG125" t="s">
        <v>1066</v>
      </c>
      <c r="AH125" s="30">
        <v>1</v>
      </c>
    </row>
    <row r="126" spans="1:34" x14ac:dyDescent="0.2">
      <c r="A126" t="s">
        <v>2234</v>
      </c>
      <c r="B126" t="s">
        <v>2234</v>
      </c>
      <c r="C126" t="s">
        <v>2235</v>
      </c>
      <c r="D126" t="s">
        <v>1068</v>
      </c>
      <c r="E126">
        <v>28</v>
      </c>
      <c r="F126">
        <v>0</v>
      </c>
      <c r="G126" s="30">
        <v>0</v>
      </c>
      <c r="H126" s="30">
        <v>0</v>
      </c>
      <c r="I126">
        <v>36</v>
      </c>
      <c r="J126">
        <v>0</v>
      </c>
      <c r="K126" s="30">
        <v>0</v>
      </c>
      <c r="L126" s="30">
        <v>0</v>
      </c>
      <c r="M126" s="30">
        <v>1</v>
      </c>
      <c r="N126" s="30">
        <v>0</v>
      </c>
      <c r="O126">
        <v>2</v>
      </c>
      <c r="P126">
        <v>0</v>
      </c>
      <c r="Q126" s="30">
        <v>7.1400000000000005E-2</v>
      </c>
      <c r="R126" s="30">
        <v>0</v>
      </c>
      <c r="S126" s="31">
        <v>40</v>
      </c>
      <c r="T126" s="31">
        <v>0</v>
      </c>
      <c r="U126">
        <v>1</v>
      </c>
      <c r="V126">
        <v>0</v>
      </c>
      <c r="AA126" t="s">
        <v>1068</v>
      </c>
      <c r="AB126">
        <v>2</v>
      </c>
      <c r="AC126" t="s">
        <v>1068</v>
      </c>
      <c r="AD126" s="31">
        <v>40</v>
      </c>
      <c r="AE126" t="s">
        <v>1068</v>
      </c>
      <c r="AF126">
        <v>28</v>
      </c>
      <c r="AG126" t="s">
        <v>1068</v>
      </c>
      <c r="AH126" s="30">
        <v>1</v>
      </c>
    </row>
    <row r="127" spans="1:34" x14ac:dyDescent="0.2">
      <c r="A127" t="s">
        <v>2140</v>
      </c>
      <c r="B127" t="s">
        <v>2140</v>
      </c>
      <c r="C127" t="s">
        <v>2141</v>
      </c>
      <c r="D127" t="s">
        <v>1069</v>
      </c>
      <c r="E127">
        <v>23</v>
      </c>
      <c r="F127">
        <v>0</v>
      </c>
      <c r="G127" s="30">
        <v>0</v>
      </c>
      <c r="H127" s="30">
        <v>0</v>
      </c>
      <c r="I127">
        <v>31</v>
      </c>
      <c r="J127">
        <v>0</v>
      </c>
      <c r="K127" s="30">
        <v>0</v>
      </c>
      <c r="L127" s="30">
        <v>0</v>
      </c>
      <c r="M127" s="30">
        <v>1</v>
      </c>
      <c r="N127" s="30">
        <v>0</v>
      </c>
      <c r="O127">
        <v>1</v>
      </c>
      <c r="P127">
        <v>0</v>
      </c>
      <c r="Q127" s="30">
        <v>4.3499999999999997E-2</v>
      </c>
      <c r="R127" s="30">
        <v>0</v>
      </c>
      <c r="S127" s="31">
        <v>20</v>
      </c>
      <c r="T127" s="31">
        <v>0</v>
      </c>
      <c r="U127">
        <v>1</v>
      </c>
      <c r="V127">
        <v>0</v>
      </c>
      <c r="AA127" t="s">
        <v>1069</v>
      </c>
      <c r="AB127">
        <v>1</v>
      </c>
      <c r="AC127" t="s">
        <v>1069</v>
      </c>
      <c r="AD127" s="31">
        <v>20</v>
      </c>
      <c r="AE127" t="s">
        <v>1069</v>
      </c>
      <c r="AF127">
        <v>23</v>
      </c>
      <c r="AG127" t="s">
        <v>1069</v>
      </c>
      <c r="AH127" s="30">
        <v>1</v>
      </c>
    </row>
    <row r="128" spans="1:34" x14ac:dyDescent="0.2">
      <c r="A128" t="s">
        <v>2236</v>
      </c>
      <c r="B128" t="s">
        <v>2237</v>
      </c>
      <c r="C128" t="s">
        <v>2238</v>
      </c>
      <c r="D128" t="s">
        <v>1039</v>
      </c>
      <c r="E128">
        <v>4</v>
      </c>
      <c r="F128">
        <v>0</v>
      </c>
      <c r="G128" s="30">
        <v>0</v>
      </c>
      <c r="H128" s="30">
        <v>0</v>
      </c>
      <c r="I128">
        <v>5</v>
      </c>
      <c r="J128">
        <v>0</v>
      </c>
      <c r="K128" s="30">
        <v>0</v>
      </c>
      <c r="L128" s="30">
        <v>0</v>
      </c>
      <c r="M128" s="30">
        <v>1</v>
      </c>
      <c r="N128" s="30">
        <v>0</v>
      </c>
      <c r="O128">
        <v>1</v>
      </c>
      <c r="P128">
        <v>0</v>
      </c>
      <c r="Q128" s="30">
        <v>0.25</v>
      </c>
      <c r="R128" s="30">
        <v>0</v>
      </c>
      <c r="S128" s="31">
        <v>22</v>
      </c>
      <c r="T128" s="31">
        <v>0</v>
      </c>
      <c r="U128">
        <v>1</v>
      </c>
      <c r="V128">
        <v>0</v>
      </c>
      <c r="AA128" t="s">
        <v>1039</v>
      </c>
      <c r="AB128">
        <v>1</v>
      </c>
      <c r="AC128" t="s">
        <v>1039</v>
      </c>
      <c r="AD128" s="31">
        <v>22</v>
      </c>
      <c r="AE128" t="s">
        <v>1039</v>
      </c>
      <c r="AF128">
        <v>4</v>
      </c>
      <c r="AG128" t="s">
        <v>1039</v>
      </c>
      <c r="AH128" s="30">
        <v>1</v>
      </c>
    </row>
    <row r="129" spans="1:34" x14ac:dyDescent="0.2">
      <c r="A129" t="s">
        <v>1986</v>
      </c>
      <c r="B129" t="s">
        <v>2239</v>
      </c>
      <c r="C129" t="s">
        <v>2240</v>
      </c>
      <c r="D129" t="s">
        <v>1037</v>
      </c>
      <c r="E129">
        <v>16</v>
      </c>
      <c r="F129">
        <v>0</v>
      </c>
      <c r="G129" s="30">
        <v>0</v>
      </c>
      <c r="H129" s="30">
        <v>0</v>
      </c>
      <c r="I129">
        <v>18</v>
      </c>
      <c r="J129">
        <v>0</v>
      </c>
      <c r="K129" s="30">
        <v>0</v>
      </c>
      <c r="L129" s="30">
        <v>0</v>
      </c>
      <c r="M129" s="30">
        <v>1</v>
      </c>
      <c r="N129" s="30">
        <v>0</v>
      </c>
      <c r="O129">
        <v>2</v>
      </c>
      <c r="P129">
        <v>0</v>
      </c>
      <c r="Q129" s="30">
        <v>0.125</v>
      </c>
      <c r="R129" s="30">
        <v>0</v>
      </c>
      <c r="S129" s="31">
        <v>44</v>
      </c>
      <c r="T129" s="31">
        <v>0</v>
      </c>
      <c r="U129">
        <v>2</v>
      </c>
      <c r="V129">
        <v>0</v>
      </c>
      <c r="AA129" t="s">
        <v>1037</v>
      </c>
      <c r="AB129">
        <v>2</v>
      </c>
      <c r="AC129" t="s">
        <v>1037</v>
      </c>
      <c r="AD129" s="31">
        <v>44</v>
      </c>
      <c r="AE129" t="s">
        <v>1037</v>
      </c>
      <c r="AF129">
        <v>16</v>
      </c>
      <c r="AG129" t="s">
        <v>1037</v>
      </c>
      <c r="AH129" s="30">
        <v>1</v>
      </c>
    </row>
    <row r="130" spans="1:34" x14ac:dyDescent="0.2">
      <c r="A130" t="s">
        <v>1986</v>
      </c>
      <c r="B130" t="s">
        <v>2241</v>
      </c>
      <c r="C130" t="s">
        <v>2242</v>
      </c>
      <c r="D130" t="s">
        <v>1040</v>
      </c>
      <c r="E130">
        <v>9</v>
      </c>
      <c r="F130">
        <v>0</v>
      </c>
      <c r="G130" s="30">
        <v>0</v>
      </c>
      <c r="H130" s="30">
        <v>0</v>
      </c>
      <c r="I130">
        <v>10</v>
      </c>
      <c r="J130">
        <v>0</v>
      </c>
      <c r="K130" s="30">
        <v>0</v>
      </c>
      <c r="L130" s="30">
        <v>0</v>
      </c>
      <c r="M130" s="30">
        <v>1</v>
      </c>
      <c r="N130" s="30">
        <v>0</v>
      </c>
      <c r="O130">
        <v>1</v>
      </c>
      <c r="P130">
        <v>0</v>
      </c>
      <c r="Q130" s="30">
        <v>0.1111</v>
      </c>
      <c r="R130" s="30">
        <v>0</v>
      </c>
      <c r="S130" s="31">
        <v>22</v>
      </c>
      <c r="T130" s="31">
        <v>0</v>
      </c>
      <c r="U130">
        <v>1</v>
      </c>
      <c r="V130">
        <v>0</v>
      </c>
      <c r="AA130" t="s">
        <v>1040</v>
      </c>
      <c r="AB130">
        <v>1</v>
      </c>
      <c r="AC130" t="s">
        <v>1040</v>
      </c>
      <c r="AD130" s="31">
        <v>22</v>
      </c>
      <c r="AE130" t="s">
        <v>1040</v>
      </c>
      <c r="AF130">
        <v>9</v>
      </c>
      <c r="AG130" t="s">
        <v>1040</v>
      </c>
      <c r="AH130" s="30">
        <v>1</v>
      </c>
    </row>
    <row r="131" spans="1:34" x14ac:dyDescent="0.2">
      <c r="A131" t="s">
        <v>1986</v>
      </c>
      <c r="B131" t="s">
        <v>2036</v>
      </c>
      <c r="C131" t="s">
        <v>2037</v>
      </c>
      <c r="D131" t="s">
        <v>1041</v>
      </c>
      <c r="E131">
        <v>22</v>
      </c>
      <c r="F131">
        <v>0</v>
      </c>
      <c r="G131" s="30">
        <v>0</v>
      </c>
      <c r="H131" s="30">
        <v>0</v>
      </c>
      <c r="I131">
        <v>28</v>
      </c>
      <c r="J131">
        <v>0</v>
      </c>
      <c r="K131" s="30">
        <v>0</v>
      </c>
      <c r="L131" s="30">
        <v>0</v>
      </c>
      <c r="M131" s="30">
        <v>1</v>
      </c>
      <c r="N131" s="30">
        <v>0</v>
      </c>
      <c r="O131">
        <v>6</v>
      </c>
      <c r="P131">
        <v>0</v>
      </c>
      <c r="Q131" s="30">
        <v>0.2727</v>
      </c>
      <c r="R131" s="30">
        <v>0</v>
      </c>
      <c r="S131" s="31">
        <v>132</v>
      </c>
      <c r="T131" s="31">
        <v>0</v>
      </c>
      <c r="U131">
        <v>5</v>
      </c>
      <c r="V131">
        <v>0</v>
      </c>
      <c r="AA131" t="s">
        <v>1041</v>
      </c>
      <c r="AB131">
        <v>6</v>
      </c>
      <c r="AC131" t="s">
        <v>1041</v>
      </c>
      <c r="AD131" s="31">
        <v>132</v>
      </c>
      <c r="AE131" t="s">
        <v>1041</v>
      </c>
      <c r="AF131">
        <v>22</v>
      </c>
      <c r="AG131" t="s">
        <v>1041</v>
      </c>
      <c r="AH131" s="30">
        <v>1</v>
      </c>
    </row>
    <row r="132" spans="1:34" x14ac:dyDescent="0.2">
      <c r="A132" t="s">
        <v>1905</v>
      </c>
      <c r="B132" t="s">
        <v>1987</v>
      </c>
      <c r="C132" t="s">
        <v>1988</v>
      </c>
      <c r="D132" t="s">
        <v>1048</v>
      </c>
      <c r="E132">
        <v>12</v>
      </c>
      <c r="F132">
        <v>0</v>
      </c>
      <c r="G132" s="30">
        <v>0</v>
      </c>
      <c r="H132" s="30">
        <v>0</v>
      </c>
      <c r="I132">
        <v>16</v>
      </c>
      <c r="J132">
        <v>0</v>
      </c>
      <c r="K132" s="30">
        <v>0</v>
      </c>
      <c r="L132" s="30">
        <v>0</v>
      </c>
      <c r="M132" s="30">
        <v>1</v>
      </c>
      <c r="N132" s="30">
        <v>0</v>
      </c>
      <c r="O132">
        <v>4</v>
      </c>
      <c r="P132">
        <v>0</v>
      </c>
      <c r="Q132" s="30">
        <v>0.33329999999999999</v>
      </c>
      <c r="R132" s="30">
        <v>0</v>
      </c>
      <c r="S132" s="31">
        <v>96</v>
      </c>
      <c r="T132" s="31">
        <v>0</v>
      </c>
      <c r="U132">
        <v>2</v>
      </c>
      <c r="V132">
        <v>0</v>
      </c>
      <c r="AA132" t="s">
        <v>1048</v>
      </c>
      <c r="AB132">
        <v>4</v>
      </c>
      <c r="AC132" t="s">
        <v>1048</v>
      </c>
      <c r="AD132" s="31">
        <v>96</v>
      </c>
      <c r="AE132" t="s">
        <v>1048</v>
      </c>
      <c r="AF132">
        <v>12</v>
      </c>
      <c r="AG132" t="s">
        <v>1048</v>
      </c>
      <c r="AH132" s="30">
        <v>1</v>
      </c>
    </row>
    <row r="133" spans="1:34" x14ac:dyDescent="0.2">
      <c r="A133" t="s">
        <v>1905</v>
      </c>
      <c r="B133" t="s">
        <v>1908</v>
      </c>
      <c r="C133" t="s">
        <v>1909</v>
      </c>
      <c r="D133" t="s">
        <v>1049</v>
      </c>
      <c r="E133">
        <v>14</v>
      </c>
      <c r="F133">
        <v>2</v>
      </c>
      <c r="G133" s="30">
        <v>0</v>
      </c>
      <c r="H133" s="30">
        <v>1E-4</v>
      </c>
      <c r="I133">
        <v>21</v>
      </c>
      <c r="J133">
        <v>3</v>
      </c>
      <c r="K133" s="30">
        <v>0</v>
      </c>
      <c r="L133" s="30">
        <v>1E-4</v>
      </c>
      <c r="M133" s="30">
        <v>1</v>
      </c>
      <c r="N133" s="30">
        <v>1</v>
      </c>
      <c r="O133">
        <v>2</v>
      </c>
      <c r="P133">
        <v>0</v>
      </c>
      <c r="Q133" s="30">
        <v>0.1429</v>
      </c>
      <c r="R133" s="30">
        <v>0</v>
      </c>
      <c r="S133" s="31">
        <v>48</v>
      </c>
      <c r="T133" s="31">
        <v>0</v>
      </c>
      <c r="U133">
        <v>2</v>
      </c>
      <c r="V133">
        <v>0</v>
      </c>
      <c r="AA133" t="s">
        <v>1049</v>
      </c>
      <c r="AB133">
        <v>2</v>
      </c>
      <c r="AC133" t="s">
        <v>1049</v>
      </c>
      <c r="AD133" s="31">
        <v>48</v>
      </c>
      <c r="AE133" t="s">
        <v>1049</v>
      </c>
      <c r="AF133">
        <v>14</v>
      </c>
      <c r="AG133" t="s">
        <v>1049</v>
      </c>
      <c r="AH133" s="30">
        <v>1</v>
      </c>
    </row>
    <row r="134" spans="1:34" x14ac:dyDescent="0.2">
      <c r="A134" t="s">
        <v>1905</v>
      </c>
      <c r="B134" t="s">
        <v>1906</v>
      </c>
      <c r="C134" t="s">
        <v>1907</v>
      </c>
      <c r="D134" t="s">
        <v>1050</v>
      </c>
      <c r="E134">
        <v>8</v>
      </c>
      <c r="F134">
        <v>0</v>
      </c>
      <c r="G134" s="30">
        <v>0</v>
      </c>
      <c r="H134" s="30">
        <v>0</v>
      </c>
      <c r="I134">
        <v>9</v>
      </c>
      <c r="J134">
        <v>0</v>
      </c>
      <c r="K134" s="30">
        <v>0</v>
      </c>
      <c r="L134" s="30">
        <v>0</v>
      </c>
      <c r="M134" s="30">
        <v>1</v>
      </c>
      <c r="N134" s="30">
        <v>0</v>
      </c>
      <c r="O134">
        <v>3</v>
      </c>
      <c r="P134">
        <v>0</v>
      </c>
      <c r="Q134" s="30">
        <v>0.375</v>
      </c>
      <c r="R134" s="30">
        <v>0</v>
      </c>
      <c r="S134" s="31">
        <v>72</v>
      </c>
      <c r="T134" s="31">
        <v>0</v>
      </c>
      <c r="U134">
        <v>2</v>
      </c>
      <c r="V134">
        <v>0</v>
      </c>
      <c r="AA134" t="s">
        <v>1050</v>
      </c>
      <c r="AB134">
        <v>3</v>
      </c>
      <c r="AC134" t="s">
        <v>1050</v>
      </c>
      <c r="AD134" s="31">
        <v>72</v>
      </c>
      <c r="AE134" t="s">
        <v>1050</v>
      </c>
      <c r="AF134">
        <v>8</v>
      </c>
      <c r="AG134" t="s">
        <v>1050</v>
      </c>
      <c r="AH134" s="30">
        <v>1</v>
      </c>
    </row>
    <row r="135" spans="1:34" x14ac:dyDescent="0.2">
      <c r="A135" t="s">
        <v>1715</v>
      </c>
      <c r="B135" t="s">
        <v>2054</v>
      </c>
      <c r="C135" t="s">
        <v>2055</v>
      </c>
      <c r="D135" t="s">
        <v>1043</v>
      </c>
      <c r="E135">
        <v>7</v>
      </c>
      <c r="F135">
        <v>0</v>
      </c>
      <c r="G135" s="30">
        <v>0</v>
      </c>
      <c r="H135" s="30">
        <v>0</v>
      </c>
      <c r="I135">
        <v>10</v>
      </c>
      <c r="J135">
        <v>0</v>
      </c>
      <c r="K135" s="30">
        <v>0</v>
      </c>
      <c r="L135" s="30">
        <v>0</v>
      </c>
      <c r="M135" s="30">
        <v>1</v>
      </c>
      <c r="N135" s="30">
        <v>0</v>
      </c>
      <c r="O135">
        <v>1</v>
      </c>
      <c r="P135">
        <v>0</v>
      </c>
      <c r="Q135" s="30">
        <v>0.1429</v>
      </c>
      <c r="R135" s="30">
        <v>0</v>
      </c>
      <c r="S135" s="31">
        <v>21</v>
      </c>
      <c r="T135" s="31">
        <v>0</v>
      </c>
      <c r="U135">
        <v>1</v>
      </c>
      <c r="V135">
        <v>0</v>
      </c>
      <c r="AA135" t="s">
        <v>1043</v>
      </c>
      <c r="AB135">
        <v>1</v>
      </c>
      <c r="AC135" t="s">
        <v>1043</v>
      </c>
      <c r="AD135" s="31">
        <v>21</v>
      </c>
      <c r="AE135" t="s">
        <v>1043</v>
      </c>
      <c r="AF135">
        <v>7</v>
      </c>
      <c r="AG135" t="s">
        <v>1043</v>
      </c>
      <c r="AH135" s="30">
        <v>1</v>
      </c>
    </row>
    <row r="136" spans="1:34" x14ac:dyDescent="0.2">
      <c r="A136" t="s">
        <v>1894</v>
      </c>
      <c r="B136" t="s">
        <v>1894</v>
      </c>
      <c r="C136" t="s">
        <v>1895</v>
      </c>
      <c r="D136" t="s">
        <v>1057</v>
      </c>
      <c r="E136">
        <v>17</v>
      </c>
      <c r="F136">
        <v>4</v>
      </c>
      <c r="G136" s="30">
        <v>0</v>
      </c>
      <c r="H136" s="30">
        <v>2.0000000000000001E-4</v>
      </c>
      <c r="I136">
        <v>19</v>
      </c>
      <c r="J136">
        <v>5</v>
      </c>
      <c r="K136" s="30">
        <v>0</v>
      </c>
      <c r="L136" s="30">
        <v>2.0000000000000001E-4</v>
      </c>
      <c r="M136" s="30">
        <v>1</v>
      </c>
      <c r="N136" s="30">
        <v>1</v>
      </c>
      <c r="O136">
        <v>3</v>
      </c>
      <c r="P136">
        <v>2</v>
      </c>
      <c r="Q136" s="30">
        <v>0.17649999999999999</v>
      </c>
      <c r="R136" s="30">
        <v>0.5</v>
      </c>
      <c r="S136" s="31">
        <v>75</v>
      </c>
      <c r="T136" s="31">
        <v>50</v>
      </c>
      <c r="U136">
        <v>3</v>
      </c>
      <c r="V136">
        <v>2</v>
      </c>
      <c r="AA136" t="s">
        <v>1057</v>
      </c>
      <c r="AB136">
        <v>3</v>
      </c>
      <c r="AC136" t="s">
        <v>1057</v>
      </c>
      <c r="AD136" s="31">
        <v>75</v>
      </c>
      <c r="AE136" t="s">
        <v>1057</v>
      </c>
      <c r="AF136">
        <v>17</v>
      </c>
      <c r="AG136" t="s">
        <v>1057</v>
      </c>
      <c r="AH136" s="30">
        <v>1</v>
      </c>
    </row>
    <row r="137" spans="1:34" x14ac:dyDescent="0.2">
      <c r="A137" t="s">
        <v>1197</v>
      </c>
      <c r="B137" t="s">
        <v>2040</v>
      </c>
      <c r="C137" t="s">
        <v>2041</v>
      </c>
      <c r="D137" t="s">
        <v>432</v>
      </c>
      <c r="E137">
        <v>44</v>
      </c>
      <c r="F137">
        <v>2</v>
      </c>
      <c r="G137" s="30">
        <v>0</v>
      </c>
      <c r="H137" s="30">
        <v>1E-4</v>
      </c>
      <c r="I137">
        <v>52</v>
      </c>
      <c r="J137">
        <v>2</v>
      </c>
      <c r="K137" s="30">
        <v>0</v>
      </c>
      <c r="L137" s="30">
        <v>1E-4</v>
      </c>
      <c r="M137" s="30">
        <v>0.95920000000000005</v>
      </c>
      <c r="N137" s="30">
        <v>1</v>
      </c>
      <c r="O137">
        <v>8</v>
      </c>
      <c r="P137">
        <v>1</v>
      </c>
      <c r="Q137" s="30">
        <v>0.18179999999999999</v>
      </c>
      <c r="R137" s="30">
        <v>0.5</v>
      </c>
      <c r="S137" s="31">
        <v>179.92</v>
      </c>
      <c r="T137" s="31">
        <v>22.49</v>
      </c>
      <c r="U137">
        <v>6</v>
      </c>
      <c r="V137">
        <v>1</v>
      </c>
      <c r="AA137" t="s">
        <v>432</v>
      </c>
      <c r="AB137">
        <v>8</v>
      </c>
      <c r="AC137" t="s">
        <v>432</v>
      </c>
      <c r="AD137" s="31">
        <v>179.92</v>
      </c>
      <c r="AE137" t="s">
        <v>432</v>
      </c>
      <c r="AF137">
        <v>44</v>
      </c>
      <c r="AG137" t="s">
        <v>432</v>
      </c>
      <c r="AH137" s="30">
        <v>0.95920000000000005</v>
      </c>
    </row>
    <row r="138" spans="1:34" x14ac:dyDescent="0.2">
      <c r="A138" t="s">
        <v>1197</v>
      </c>
      <c r="B138" t="s">
        <v>1198</v>
      </c>
      <c r="C138" t="s">
        <v>1199</v>
      </c>
      <c r="D138" t="s">
        <v>435</v>
      </c>
      <c r="E138">
        <v>23</v>
      </c>
      <c r="F138">
        <v>0</v>
      </c>
      <c r="G138" s="30">
        <v>0</v>
      </c>
      <c r="H138" s="30">
        <v>0</v>
      </c>
      <c r="I138">
        <v>31</v>
      </c>
      <c r="J138">
        <v>0</v>
      </c>
      <c r="K138" s="30">
        <v>0</v>
      </c>
      <c r="L138" s="30">
        <v>0</v>
      </c>
      <c r="M138" s="30">
        <v>0.89659999999999995</v>
      </c>
      <c r="N138" s="30">
        <v>0</v>
      </c>
      <c r="O138">
        <v>1</v>
      </c>
      <c r="P138">
        <v>0</v>
      </c>
      <c r="Q138" s="30">
        <v>4.3499999999999997E-2</v>
      </c>
      <c r="R138" s="30">
        <v>0</v>
      </c>
      <c r="S138" s="31">
        <v>22.49</v>
      </c>
      <c r="T138" s="31">
        <v>0</v>
      </c>
      <c r="U138">
        <v>1</v>
      </c>
      <c r="V138">
        <v>0</v>
      </c>
      <c r="AA138" t="s">
        <v>435</v>
      </c>
      <c r="AB138">
        <v>1</v>
      </c>
      <c r="AC138" t="s">
        <v>435</v>
      </c>
      <c r="AD138" s="31">
        <v>22.49</v>
      </c>
      <c r="AE138" t="s">
        <v>435</v>
      </c>
      <c r="AF138">
        <v>23</v>
      </c>
      <c r="AG138" t="s">
        <v>435</v>
      </c>
      <c r="AH138" s="30">
        <v>0.89659999999999995</v>
      </c>
    </row>
    <row r="139" spans="1:34" x14ac:dyDescent="0.2">
      <c r="A139" t="s">
        <v>1197</v>
      </c>
      <c r="B139" t="s">
        <v>1953</v>
      </c>
      <c r="C139" t="s">
        <v>1954</v>
      </c>
      <c r="D139" t="s">
        <v>438</v>
      </c>
      <c r="E139">
        <v>24</v>
      </c>
      <c r="F139">
        <v>1</v>
      </c>
      <c r="G139" s="30">
        <v>0</v>
      </c>
      <c r="H139" s="30">
        <v>0</v>
      </c>
      <c r="I139">
        <v>34</v>
      </c>
      <c r="J139">
        <v>2</v>
      </c>
      <c r="K139" s="30">
        <v>0</v>
      </c>
      <c r="L139" s="30">
        <v>1E-4</v>
      </c>
      <c r="M139" s="30">
        <v>1</v>
      </c>
      <c r="N139" s="30">
        <v>1</v>
      </c>
      <c r="O139">
        <v>4</v>
      </c>
      <c r="P139">
        <v>0</v>
      </c>
      <c r="Q139" s="30">
        <v>0.16669999999999999</v>
      </c>
      <c r="R139" s="30">
        <v>0</v>
      </c>
      <c r="S139" s="31">
        <v>89.96</v>
      </c>
      <c r="T139" s="31">
        <v>0</v>
      </c>
      <c r="U139">
        <v>3</v>
      </c>
      <c r="V139">
        <v>0</v>
      </c>
      <c r="AA139" t="s">
        <v>438</v>
      </c>
      <c r="AB139">
        <v>4</v>
      </c>
      <c r="AC139" t="s">
        <v>438</v>
      </c>
      <c r="AD139" s="31">
        <v>89.96</v>
      </c>
      <c r="AE139" t="s">
        <v>438</v>
      </c>
      <c r="AF139">
        <v>24</v>
      </c>
      <c r="AG139" t="s">
        <v>438</v>
      </c>
      <c r="AH139" s="30">
        <v>1</v>
      </c>
    </row>
    <row r="140" spans="1:34" x14ac:dyDescent="0.2">
      <c r="A140" t="s">
        <v>1968</v>
      </c>
      <c r="B140" t="s">
        <v>2056</v>
      </c>
      <c r="C140" t="s">
        <v>2057</v>
      </c>
      <c r="D140" t="s">
        <v>554</v>
      </c>
      <c r="E140">
        <v>34</v>
      </c>
      <c r="F140">
        <v>0</v>
      </c>
      <c r="G140" s="30">
        <v>0</v>
      </c>
      <c r="H140" s="30">
        <v>0</v>
      </c>
      <c r="I140">
        <v>38</v>
      </c>
      <c r="J140">
        <v>0</v>
      </c>
      <c r="K140" s="30">
        <v>0</v>
      </c>
      <c r="L140" s="30">
        <v>0</v>
      </c>
      <c r="M140" s="30">
        <v>3.0300000000000001E-2</v>
      </c>
      <c r="N140" s="30">
        <v>0</v>
      </c>
      <c r="O140">
        <v>3</v>
      </c>
      <c r="P140">
        <v>0</v>
      </c>
      <c r="Q140" s="30">
        <v>8.8200000000000001E-2</v>
      </c>
      <c r="R140" s="30">
        <v>0</v>
      </c>
      <c r="S140" s="31">
        <v>57</v>
      </c>
      <c r="T140" s="31">
        <v>0</v>
      </c>
      <c r="U140">
        <v>2</v>
      </c>
      <c r="V140">
        <v>0</v>
      </c>
      <c r="AA140" t="s">
        <v>554</v>
      </c>
      <c r="AB140">
        <v>3</v>
      </c>
      <c r="AC140" t="s">
        <v>554</v>
      </c>
      <c r="AD140" s="31">
        <v>57</v>
      </c>
      <c r="AE140" t="s">
        <v>554</v>
      </c>
      <c r="AF140">
        <v>34</v>
      </c>
      <c r="AG140" t="s">
        <v>554</v>
      </c>
      <c r="AH140" s="30">
        <v>3.0300000000000001E-2</v>
      </c>
    </row>
    <row r="141" spans="1:34" x14ac:dyDescent="0.2">
      <c r="A141" t="s">
        <v>1968</v>
      </c>
      <c r="B141" t="s">
        <v>1969</v>
      </c>
      <c r="C141" t="s">
        <v>1970</v>
      </c>
      <c r="D141" t="s">
        <v>557</v>
      </c>
      <c r="E141">
        <v>47</v>
      </c>
      <c r="F141">
        <v>0</v>
      </c>
      <c r="G141" s="30">
        <v>0</v>
      </c>
      <c r="H141" s="30">
        <v>0</v>
      </c>
      <c r="I141">
        <v>62</v>
      </c>
      <c r="J141">
        <v>0</v>
      </c>
      <c r="K141" s="30">
        <v>0</v>
      </c>
      <c r="L141" s="30">
        <v>0</v>
      </c>
      <c r="M141" s="30">
        <v>0.46550000000000002</v>
      </c>
      <c r="N141" s="30">
        <v>0</v>
      </c>
      <c r="O141">
        <v>2</v>
      </c>
      <c r="P141">
        <v>0</v>
      </c>
      <c r="Q141" s="30">
        <v>4.2599999999999999E-2</v>
      </c>
      <c r="R141" s="30">
        <v>0</v>
      </c>
      <c r="S141" s="31">
        <v>38</v>
      </c>
      <c r="T141" s="31">
        <v>0</v>
      </c>
      <c r="U141">
        <v>2</v>
      </c>
      <c r="V141">
        <v>0</v>
      </c>
      <c r="AA141" t="s">
        <v>557</v>
      </c>
      <c r="AB141">
        <v>2</v>
      </c>
      <c r="AC141" t="s">
        <v>557</v>
      </c>
      <c r="AD141" s="31">
        <v>38</v>
      </c>
      <c r="AE141" t="s">
        <v>557</v>
      </c>
      <c r="AF141">
        <v>47</v>
      </c>
      <c r="AG141" t="s">
        <v>557</v>
      </c>
      <c r="AH141" s="30">
        <v>0.46550000000000002</v>
      </c>
    </row>
    <row r="142" spans="1:34" x14ac:dyDescent="0.2">
      <c r="A142" t="s">
        <v>2142</v>
      </c>
      <c r="B142" t="s">
        <v>2142</v>
      </c>
      <c r="C142" t="s">
        <v>2143</v>
      </c>
      <c r="D142" t="s">
        <v>1052</v>
      </c>
      <c r="E142">
        <v>45</v>
      </c>
      <c r="F142">
        <v>1</v>
      </c>
      <c r="G142" s="30">
        <v>0</v>
      </c>
      <c r="H142" s="30">
        <v>0</v>
      </c>
      <c r="I142">
        <v>60</v>
      </c>
      <c r="J142">
        <v>1</v>
      </c>
      <c r="K142" s="30">
        <v>0</v>
      </c>
      <c r="L142" s="30">
        <v>0</v>
      </c>
      <c r="M142" s="30">
        <v>1</v>
      </c>
      <c r="N142" s="30">
        <v>1</v>
      </c>
      <c r="O142">
        <v>15</v>
      </c>
      <c r="P142">
        <v>0</v>
      </c>
      <c r="Q142" s="30">
        <v>0.33329999999999999</v>
      </c>
      <c r="R142" s="30">
        <v>0</v>
      </c>
      <c r="S142" s="31">
        <v>300</v>
      </c>
      <c r="T142" s="31">
        <v>0</v>
      </c>
      <c r="U142">
        <v>9</v>
      </c>
      <c r="V142">
        <v>0</v>
      </c>
      <c r="AA142" t="s">
        <v>1052</v>
      </c>
      <c r="AB142">
        <v>15</v>
      </c>
      <c r="AC142" t="s">
        <v>1052</v>
      </c>
      <c r="AD142" s="31">
        <v>300</v>
      </c>
      <c r="AE142" t="s">
        <v>1052</v>
      </c>
      <c r="AF142">
        <v>45</v>
      </c>
      <c r="AG142" t="s">
        <v>1052</v>
      </c>
      <c r="AH142" s="30">
        <v>1</v>
      </c>
    </row>
    <row r="143" spans="1:34" x14ac:dyDescent="0.2">
      <c r="A143" t="s">
        <v>2058</v>
      </c>
      <c r="B143" t="s">
        <v>2058</v>
      </c>
      <c r="C143" t="s">
        <v>2059</v>
      </c>
      <c r="D143" t="s">
        <v>1053</v>
      </c>
      <c r="E143">
        <v>35</v>
      </c>
      <c r="F143">
        <v>3</v>
      </c>
      <c r="G143" s="30">
        <v>0</v>
      </c>
      <c r="H143" s="30">
        <v>1E-4</v>
      </c>
      <c r="I143">
        <v>45</v>
      </c>
      <c r="J143">
        <v>5</v>
      </c>
      <c r="K143" s="30">
        <v>0</v>
      </c>
      <c r="L143" s="30">
        <v>2.0000000000000001E-4</v>
      </c>
      <c r="M143" s="30">
        <v>0.97560000000000002</v>
      </c>
      <c r="N143" s="30">
        <v>1</v>
      </c>
      <c r="O143">
        <v>2</v>
      </c>
      <c r="P143">
        <v>0</v>
      </c>
      <c r="Q143" s="30">
        <v>5.7099999999999998E-2</v>
      </c>
      <c r="R143" s="30">
        <v>0</v>
      </c>
      <c r="S143" s="31">
        <v>40</v>
      </c>
      <c r="T143" s="31">
        <v>0</v>
      </c>
      <c r="U143">
        <v>2</v>
      </c>
      <c r="V143">
        <v>0</v>
      </c>
      <c r="AA143" t="s">
        <v>1053</v>
      </c>
      <c r="AB143">
        <v>2</v>
      </c>
      <c r="AC143" t="s">
        <v>1053</v>
      </c>
      <c r="AD143" s="31">
        <v>40</v>
      </c>
      <c r="AE143" t="s">
        <v>1053</v>
      </c>
      <c r="AF143">
        <v>35</v>
      </c>
      <c r="AG143" t="s">
        <v>1053</v>
      </c>
      <c r="AH143" s="30">
        <v>0.97560000000000002</v>
      </c>
    </row>
    <row r="144" spans="1:34" x14ac:dyDescent="0.2">
      <c r="A144" t="s">
        <v>1163</v>
      </c>
      <c r="B144" t="s">
        <v>1983</v>
      </c>
      <c r="C144" t="s">
        <v>1984</v>
      </c>
      <c r="D144" t="s">
        <v>641</v>
      </c>
      <c r="E144">
        <v>149</v>
      </c>
      <c r="F144">
        <v>2</v>
      </c>
      <c r="G144" s="30">
        <v>1E-4</v>
      </c>
      <c r="H144" s="30">
        <v>1E-4</v>
      </c>
      <c r="I144">
        <v>209</v>
      </c>
      <c r="J144">
        <v>2</v>
      </c>
      <c r="K144" s="30">
        <v>1E-4</v>
      </c>
      <c r="L144" s="30">
        <v>1E-4</v>
      </c>
      <c r="M144" s="30">
        <v>1</v>
      </c>
      <c r="N144" s="30">
        <v>1</v>
      </c>
      <c r="O144">
        <v>12</v>
      </c>
      <c r="P144">
        <v>0</v>
      </c>
      <c r="Q144" s="30">
        <v>8.0500000000000002E-2</v>
      </c>
      <c r="R144" s="30">
        <v>0</v>
      </c>
      <c r="S144" s="31">
        <v>539.88</v>
      </c>
      <c r="T144" s="31">
        <v>0</v>
      </c>
      <c r="U144">
        <v>11</v>
      </c>
      <c r="V144">
        <v>0</v>
      </c>
      <c r="AA144" t="s">
        <v>641</v>
      </c>
      <c r="AB144">
        <v>12</v>
      </c>
      <c r="AC144" t="s">
        <v>641</v>
      </c>
      <c r="AD144" s="31">
        <v>539.88</v>
      </c>
      <c r="AE144" t="s">
        <v>641</v>
      </c>
      <c r="AF144">
        <v>149</v>
      </c>
      <c r="AG144" t="s">
        <v>641</v>
      </c>
      <c r="AH144" s="30">
        <v>1</v>
      </c>
    </row>
    <row r="145" spans="1:34" x14ac:dyDescent="0.2">
      <c r="A145" t="s">
        <v>1163</v>
      </c>
      <c r="B145" t="s">
        <v>1164</v>
      </c>
      <c r="C145" t="s">
        <v>1903</v>
      </c>
      <c r="D145" t="s">
        <v>643</v>
      </c>
      <c r="E145">
        <v>51</v>
      </c>
      <c r="F145">
        <v>3</v>
      </c>
      <c r="G145" s="30">
        <v>0</v>
      </c>
      <c r="H145" s="30">
        <v>1E-4</v>
      </c>
      <c r="I145">
        <v>74</v>
      </c>
      <c r="J145">
        <v>4</v>
      </c>
      <c r="K145" s="30">
        <v>0</v>
      </c>
      <c r="L145" s="30">
        <v>1E-4</v>
      </c>
      <c r="M145" s="30">
        <v>1</v>
      </c>
      <c r="N145" s="30">
        <v>1</v>
      </c>
      <c r="O145">
        <v>1</v>
      </c>
      <c r="P145">
        <v>0</v>
      </c>
      <c r="Q145" s="30">
        <v>1.9599999999999999E-2</v>
      </c>
      <c r="R145" s="30">
        <v>0</v>
      </c>
      <c r="S145" s="31">
        <v>44.99</v>
      </c>
      <c r="T145" s="31">
        <v>0</v>
      </c>
      <c r="U145">
        <v>1</v>
      </c>
      <c r="V145">
        <v>0</v>
      </c>
      <c r="AA145" t="s">
        <v>643</v>
      </c>
      <c r="AB145">
        <v>1</v>
      </c>
      <c r="AC145" t="s">
        <v>643</v>
      </c>
      <c r="AD145" s="31">
        <v>44.99</v>
      </c>
      <c r="AE145" t="s">
        <v>643</v>
      </c>
      <c r="AF145">
        <v>51</v>
      </c>
      <c r="AG145" t="s">
        <v>643</v>
      </c>
      <c r="AH145" s="30">
        <v>1</v>
      </c>
    </row>
    <row r="146" spans="1:34" x14ac:dyDescent="0.2">
      <c r="A146" t="s">
        <v>1676</v>
      </c>
      <c r="B146" t="s">
        <v>2095</v>
      </c>
      <c r="C146" t="s">
        <v>2096</v>
      </c>
      <c r="D146" t="s">
        <v>650</v>
      </c>
      <c r="E146">
        <v>65</v>
      </c>
      <c r="F146">
        <v>0</v>
      </c>
      <c r="G146" s="30">
        <v>0</v>
      </c>
      <c r="H146" s="30">
        <v>0</v>
      </c>
      <c r="I146">
        <v>79</v>
      </c>
      <c r="J146">
        <v>0</v>
      </c>
      <c r="K146" s="30">
        <v>0</v>
      </c>
      <c r="L146" s="30">
        <v>0</v>
      </c>
      <c r="M146" s="30">
        <v>0.11269999999999999</v>
      </c>
      <c r="N146" s="30">
        <v>0</v>
      </c>
      <c r="O146">
        <v>1</v>
      </c>
      <c r="P146">
        <v>0</v>
      </c>
      <c r="Q146" s="30">
        <v>1.54E-2</v>
      </c>
      <c r="R146" s="30">
        <v>0</v>
      </c>
      <c r="S146" s="31">
        <v>44.99</v>
      </c>
      <c r="T146" s="31">
        <v>0</v>
      </c>
      <c r="U146">
        <v>1</v>
      </c>
      <c r="V146">
        <v>0</v>
      </c>
      <c r="AA146" t="s">
        <v>650</v>
      </c>
      <c r="AB146">
        <v>1</v>
      </c>
      <c r="AC146" t="s">
        <v>650</v>
      </c>
      <c r="AD146" s="31">
        <v>44.99</v>
      </c>
      <c r="AE146" t="s">
        <v>650</v>
      </c>
      <c r="AF146">
        <v>65</v>
      </c>
      <c r="AG146" t="s">
        <v>650</v>
      </c>
      <c r="AH146" s="30">
        <v>0.11269999999999999</v>
      </c>
    </row>
    <row r="147" spans="1:34" x14ac:dyDescent="0.2">
      <c r="A147" t="s">
        <v>1676</v>
      </c>
      <c r="B147" t="s">
        <v>2243</v>
      </c>
      <c r="C147" t="s">
        <v>2244</v>
      </c>
      <c r="D147" t="s">
        <v>653</v>
      </c>
      <c r="E147">
        <v>139</v>
      </c>
      <c r="F147">
        <v>1</v>
      </c>
      <c r="G147" s="30">
        <v>1E-4</v>
      </c>
      <c r="H147" s="30">
        <v>0</v>
      </c>
      <c r="I147">
        <v>214</v>
      </c>
      <c r="J147">
        <v>3</v>
      </c>
      <c r="K147" s="30">
        <v>1E-4</v>
      </c>
      <c r="L147" s="30">
        <v>1E-4</v>
      </c>
      <c r="M147" s="30">
        <v>0.71640000000000004</v>
      </c>
      <c r="N147" s="30">
        <v>1</v>
      </c>
      <c r="O147">
        <v>24</v>
      </c>
      <c r="P147">
        <v>1</v>
      </c>
      <c r="Q147" s="30">
        <v>0.17269999999999999</v>
      </c>
      <c r="R147" s="30">
        <v>1</v>
      </c>
      <c r="S147" s="31">
        <v>1079.76</v>
      </c>
      <c r="T147" s="31">
        <v>44.99</v>
      </c>
      <c r="U147">
        <v>19</v>
      </c>
      <c r="V147">
        <v>1</v>
      </c>
      <c r="AA147" t="s">
        <v>653</v>
      </c>
      <c r="AB147">
        <v>24</v>
      </c>
      <c r="AC147" t="s">
        <v>653</v>
      </c>
      <c r="AD147" s="31">
        <v>1079.76</v>
      </c>
      <c r="AE147" t="s">
        <v>653</v>
      </c>
      <c r="AF147">
        <v>139</v>
      </c>
      <c r="AG147" t="s">
        <v>653</v>
      </c>
      <c r="AH147" s="30">
        <v>0.71640000000000004</v>
      </c>
    </row>
    <row r="148" spans="1:34" x14ac:dyDescent="0.2">
      <c r="A148" t="s">
        <v>1676</v>
      </c>
      <c r="B148" t="s">
        <v>2245</v>
      </c>
      <c r="C148" t="s">
        <v>2246</v>
      </c>
      <c r="D148" t="s">
        <v>655</v>
      </c>
      <c r="E148">
        <v>84</v>
      </c>
      <c r="F148">
        <v>3</v>
      </c>
      <c r="G148" s="30">
        <v>1E-4</v>
      </c>
      <c r="H148" s="30">
        <v>1E-4</v>
      </c>
      <c r="I148">
        <v>135</v>
      </c>
      <c r="J148">
        <v>9</v>
      </c>
      <c r="K148" s="30">
        <v>1E-4</v>
      </c>
      <c r="L148" s="30">
        <v>2.9999999999999997E-4</v>
      </c>
      <c r="M148" s="30">
        <v>0.1111</v>
      </c>
      <c r="N148" s="30">
        <v>0</v>
      </c>
      <c r="O148">
        <v>1</v>
      </c>
      <c r="P148">
        <v>0</v>
      </c>
      <c r="Q148" s="30">
        <v>1.1900000000000001E-2</v>
      </c>
      <c r="R148" s="30">
        <v>0</v>
      </c>
      <c r="S148" s="31">
        <v>44.99</v>
      </c>
      <c r="T148" s="31">
        <v>0</v>
      </c>
      <c r="U148">
        <v>1</v>
      </c>
      <c r="V148">
        <v>0</v>
      </c>
      <c r="AA148" t="s">
        <v>655</v>
      </c>
      <c r="AB148">
        <v>1</v>
      </c>
      <c r="AC148" t="s">
        <v>655</v>
      </c>
      <c r="AD148" s="31">
        <v>44.99</v>
      </c>
      <c r="AE148" t="s">
        <v>655</v>
      </c>
      <c r="AF148">
        <v>84</v>
      </c>
      <c r="AG148" t="s">
        <v>655</v>
      </c>
      <c r="AH148" s="30">
        <v>0.1111</v>
      </c>
    </row>
    <row r="149" spans="1:34" x14ac:dyDescent="0.2">
      <c r="A149" t="s">
        <v>1676</v>
      </c>
      <c r="B149" t="s">
        <v>1165</v>
      </c>
      <c r="C149" t="s">
        <v>2099</v>
      </c>
      <c r="D149" t="s">
        <v>658</v>
      </c>
      <c r="E149">
        <v>62</v>
      </c>
      <c r="F149">
        <v>0</v>
      </c>
      <c r="G149" s="30">
        <v>0</v>
      </c>
      <c r="H149" s="30">
        <v>0</v>
      </c>
      <c r="I149">
        <v>93</v>
      </c>
      <c r="J149">
        <v>0</v>
      </c>
      <c r="K149" s="30">
        <v>0</v>
      </c>
      <c r="L149" s="30">
        <v>0</v>
      </c>
      <c r="M149" s="30">
        <v>1</v>
      </c>
      <c r="N149" s="30">
        <v>0</v>
      </c>
      <c r="O149">
        <v>4</v>
      </c>
      <c r="P149">
        <v>0</v>
      </c>
      <c r="Q149" s="30">
        <v>6.4500000000000002E-2</v>
      </c>
      <c r="R149" s="30">
        <v>0</v>
      </c>
      <c r="S149" s="31">
        <v>179.96</v>
      </c>
      <c r="T149" s="31">
        <v>0</v>
      </c>
      <c r="U149">
        <v>1</v>
      </c>
      <c r="V149">
        <v>0</v>
      </c>
      <c r="AA149" t="s">
        <v>658</v>
      </c>
      <c r="AB149">
        <v>4</v>
      </c>
      <c r="AC149" t="s">
        <v>658</v>
      </c>
      <c r="AD149" s="31">
        <v>179.96</v>
      </c>
      <c r="AE149" t="s">
        <v>658</v>
      </c>
      <c r="AF149">
        <v>62</v>
      </c>
      <c r="AG149" t="s">
        <v>658</v>
      </c>
      <c r="AH149" s="30">
        <v>1</v>
      </c>
    </row>
    <row r="150" spans="1:34" x14ac:dyDescent="0.2">
      <c r="A150" t="s">
        <v>2060</v>
      </c>
      <c r="B150" t="s">
        <v>2060</v>
      </c>
      <c r="C150" t="s">
        <v>2103</v>
      </c>
      <c r="D150" t="s">
        <v>1763</v>
      </c>
      <c r="E150">
        <v>62</v>
      </c>
      <c r="F150">
        <v>0</v>
      </c>
      <c r="G150" s="30">
        <v>0</v>
      </c>
      <c r="H150" s="30">
        <v>0</v>
      </c>
      <c r="I150">
        <v>86</v>
      </c>
      <c r="J150">
        <v>0</v>
      </c>
      <c r="K150" s="30">
        <v>0</v>
      </c>
      <c r="L150" s="30">
        <v>0</v>
      </c>
      <c r="M150" s="30">
        <v>1</v>
      </c>
      <c r="N150" s="30">
        <v>0</v>
      </c>
      <c r="O150">
        <v>4</v>
      </c>
      <c r="P150">
        <v>0</v>
      </c>
      <c r="Q150" s="30">
        <v>6.4500000000000002E-2</v>
      </c>
      <c r="R150" s="30">
        <v>0</v>
      </c>
      <c r="S150" s="31">
        <v>180</v>
      </c>
      <c r="T150" s="31">
        <v>0</v>
      </c>
      <c r="U150">
        <v>4</v>
      </c>
      <c r="V150">
        <v>0</v>
      </c>
      <c r="AA150" t="s">
        <v>1763</v>
      </c>
      <c r="AB150">
        <v>4</v>
      </c>
      <c r="AC150" t="s">
        <v>1763</v>
      </c>
      <c r="AD150" s="31">
        <v>180</v>
      </c>
      <c r="AE150" t="s">
        <v>1763</v>
      </c>
      <c r="AF150">
        <v>62</v>
      </c>
      <c r="AG150" t="s">
        <v>1763</v>
      </c>
      <c r="AH150" s="30">
        <v>1</v>
      </c>
    </row>
    <row r="151" spans="1:34" x14ac:dyDescent="0.2">
      <c r="A151" t="s">
        <v>1992</v>
      </c>
      <c r="B151" t="s">
        <v>1992</v>
      </c>
      <c r="C151" t="s">
        <v>2092</v>
      </c>
      <c r="D151" t="s">
        <v>1764</v>
      </c>
      <c r="E151">
        <v>8</v>
      </c>
      <c r="F151">
        <v>0</v>
      </c>
      <c r="G151" s="30">
        <v>0</v>
      </c>
      <c r="H151" s="30">
        <v>0</v>
      </c>
      <c r="I151">
        <v>10</v>
      </c>
      <c r="J151">
        <v>0</v>
      </c>
      <c r="K151" s="30">
        <v>0</v>
      </c>
      <c r="L151" s="30">
        <v>0</v>
      </c>
      <c r="M151" s="30">
        <v>1</v>
      </c>
      <c r="N151" s="30">
        <v>0</v>
      </c>
      <c r="O151">
        <v>2</v>
      </c>
      <c r="P151">
        <v>0</v>
      </c>
      <c r="Q151" s="30">
        <v>0.25</v>
      </c>
      <c r="R151" s="30">
        <v>0</v>
      </c>
      <c r="S151" s="31">
        <v>90</v>
      </c>
      <c r="T151" s="31">
        <v>0</v>
      </c>
      <c r="U151">
        <v>1</v>
      </c>
      <c r="V151">
        <v>0</v>
      </c>
      <c r="AA151" t="s">
        <v>1764</v>
      </c>
      <c r="AB151">
        <v>2</v>
      </c>
      <c r="AC151" t="s">
        <v>1764</v>
      </c>
      <c r="AD151" s="31">
        <v>90</v>
      </c>
      <c r="AE151" t="s">
        <v>1764</v>
      </c>
      <c r="AF151">
        <v>8</v>
      </c>
      <c r="AG151" t="s">
        <v>1764</v>
      </c>
      <c r="AH151" s="30">
        <v>1</v>
      </c>
    </row>
    <row r="152" spans="1:34" x14ac:dyDescent="0.2">
      <c r="A152" t="s">
        <v>1166</v>
      </c>
      <c r="B152" t="s">
        <v>2144</v>
      </c>
      <c r="C152" t="s">
        <v>2145</v>
      </c>
      <c r="D152" t="s">
        <v>669</v>
      </c>
      <c r="E152">
        <v>38</v>
      </c>
      <c r="F152">
        <v>1</v>
      </c>
      <c r="G152" s="30">
        <v>0</v>
      </c>
      <c r="H152" s="30">
        <v>0</v>
      </c>
      <c r="I152">
        <v>55</v>
      </c>
      <c r="J152">
        <v>2</v>
      </c>
      <c r="K152" s="30">
        <v>0</v>
      </c>
      <c r="L152" s="30">
        <v>1E-4</v>
      </c>
      <c r="M152" s="30">
        <v>1</v>
      </c>
      <c r="N152" s="30">
        <v>1</v>
      </c>
      <c r="O152">
        <v>1</v>
      </c>
      <c r="P152">
        <v>0</v>
      </c>
      <c r="Q152" s="30">
        <v>2.63E-2</v>
      </c>
      <c r="R152" s="30">
        <v>0</v>
      </c>
      <c r="S152" s="31">
        <v>53.99</v>
      </c>
      <c r="T152" s="31">
        <v>0</v>
      </c>
      <c r="U152">
        <v>1</v>
      </c>
      <c r="V152">
        <v>0</v>
      </c>
      <c r="AA152" t="s">
        <v>669</v>
      </c>
      <c r="AB152">
        <v>1</v>
      </c>
      <c r="AC152" t="s">
        <v>669</v>
      </c>
      <c r="AD152" s="31">
        <v>53.99</v>
      </c>
      <c r="AE152" t="s">
        <v>669</v>
      </c>
      <c r="AF152">
        <v>38</v>
      </c>
      <c r="AG152" t="s">
        <v>669</v>
      </c>
      <c r="AH152" s="30">
        <v>1</v>
      </c>
    </row>
    <row r="153" spans="1:34" x14ac:dyDescent="0.2">
      <c r="A153" t="s">
        <v>1168</v>
      </c>
      <c r="B153" t="s">
        <v>1169</v>
      </c>
      <c r="C153" t="s">
        <v>1947</v>
      </c>
      <c r="D153" t="s">
        <v>678</v>
      </c>
      <c r="E153">
        <v>62</v>
      </c>
      <c r="F153">
        <v>0</v>
      </c>
      <c r="G153" s="30">
        <v>0</v>
      </c>
      <c r="H153" s="30">
        <v>0</v>
      </c>
      <c r="I153">
        <v>75</v>
      </c>
      <c r="J153">
        <v>0</v>
      </c>
      <c r="K153" s="30">
        <v>0</v>
      </c>
      <c r="L153" s="30">
        <v>0</v>
      </c>
      <c r="M153" s="30">
        <v>0.96550000000000002</v>
      </c>
      <c r="N153" s="30">
        <v>0</v>
      </c>
      <c r="O153">
        <v>1</v>
      </c>
      <c r="P153">
        <v>0</v>
      </c>
      <c r="Q153" s="30">
        <v>1.61E-2</v>
      </c>
      <c r="R153" s="30">
        <v>0</v>
      </c>
      <c r="S153" s="31">
        <v>35.99</v>
      </c>
      <c r="T153" s="31">
        <v>0</v>
      </c>
      <c r="U153">
        <v>1</v>
      </c>
      <c r="V153">
        <v>0</v>
      </c>
      <c r="AA153" t="s">
        <v>678</v>
      </c>
      <c r="AB153">
        <v>1</v>
      </c>
      <c r="AC153" t="s">
        <v>678</v>
      </c>
      <c r="AD153" s="31">
        <v>35.99</v>
      </c>
      <c r="AE153" t="s">
        <v>678</v>
      </c>
      <c r="AF153">
        <v>62</v>
      </c>
      <c r="AG153" t="s">
        <v>678</v>
      </c>
      <c r="AH153" s="30">
        <v>0.96550000000000002</v>
      </c>
    </row>
    <row r="154" spans="1:34" x14ac:dyDescent="0.2">
      <c r="A154" t="s">
        <v>1168</v>
      </c>
      <c r="B154" t="s">
        <v>1170</v>
      </c>
      <c r="C154" t="s">
        <v>1171</v>
      </c>
      <c r="D154" t="s">
        <v>682</v>
      </c>
      <c r="E154">
        <v>141</v>
      </c>
      <c r="F154">
        <v>1</v>
      </c>
      <c r="G154" s="30">
        <v>1E-4</v>
      </c>
      <c r="H154" s="30">
        <v>0</v>
      </c>
      <c r="I154">
        <v>196</v>
      </c>
      <c r="J154">
        <v>1</v>
      </c>
      <c r="K154" s="30">
        <v>1E-4</v>
      </c>
      <c r="L154" s="30">
        <v>0</v>
      </c>
      <c r="M154" s="30">
        <v>1</v>
      </c>
      <c r="N154" s="30">
        <v>1</v>
      </c>
      <c r="O154">
        <v>23</v>
      </c>
      <c r="P154">
        <v>0</v>
      </c>
      <c r="Q154" s="30">
        <v>0.16309999999999999</v>
      </c>
      <c r="R154" s="30">
        <v>0</v>
      </c>
      <c r="S154" s="31">
        <v>827.77</v>
      </c>
      <c r="T154" s="31">
        <v>0</v>
      </c>
      <c r="U154">
        <v>22</v>
      </c>
      <c r="V154">
        <v>0</v>
      </c>
      <c r="AA154" t="s">
        <v>682</v>
      </c>
      <c r="AB154">
        <v>23</v>
      </c>
      <c r="AC154" t="s">
        <v>682</v>
      </c>
      <c r="AD154" s="31">
        <v>827.77</v>
      </c>
      <c r="AE154" t="s">
        <v>682</v>
      </c>
      <c r="AF154">
        <v>141</v>
      </c>
      <c r="AG154" t="s">
        <v>682</v>
      </c>
      <c r="AH154" s="30">
        <v>1</v>
      </c>
    </row>
    <row r="155" spans="1:34" x14ac:dyDescent="0.2">
      <c r="A155" t="s">
        <v>1168</v>
      </c>
      <c r="B155" t="s">
        <v>1172</v>
      </c>
      <c r="C155" t="s">
        <v>1967</v>
      </c>
      <c r="D155" t="s">
        <v>684</v>
      </c>
      <c r="E155">
        <v>79</v>
      </c>
      <c r="F155">
        <v>1</v>
      </c>
      <c r="G155" s="30">
        <v>0</v>
      </c>
      <c r="H155" s="30">
        <v>0</v>
      </c>
      <c r="I155">
        <v>108</v>
      </c>
      <c r="J155">
        <v>2</v>
      </c>
      <c r="K155" s="30">
        <v>1E-4</v>
      </c>
      <c r="L155" s="30">
        <v>1E-4</v>
      </c>
      <c r="M155" s="30">
        <v>1</v>
      </c>
      <c r="N155" s="30">
        <v>0</v>
      </c>
      <c r="O155">
        <v>16</v>
      </c>
      <c r="P155">
        <v>0</v>
      </c>
      <c r="Q155" s="30">
        <v>0.20250000000000001</v>
      </c>
      <c r="R155" s="30">
        <v>0</v>
      </c>
      <c r="S155" s="31">
        <v>575.84</v>
      </c>
      <c r="T155" s="31">
        <v>0</v>
      </c>
      <c r="U155">
        <v>13</v>
      </c>
      <c r="V155">
        <v>0</v>
      </c>
      <c r="AA155" t="s">
        <v>684</v>
      </c>
      <c r="AB155">
        <v>16</v>
      </c>
      <c r="AC155" t="s">
        <v>684</v>
      </c>
      <c r="AD155" s="31">
        <v>575.84</v>
      </c>
      <c r="AE155" t="s">
        <v>684</v>
      </c>
      <c r="AF155">
        <v>79</v>
      </c>
      <c r="AG155" t="s">
        <v>684</v>
      </c>
      <c r="AH155" s="30">
        <v>1</v>
      </c>
    </row>
    <row r="156" spans="1:34" x14ac:dyDescent="0.2">
      <c r="A156" t="s">
        <v>1168</v>
      </c>
      <c r="B156" t="s">
        <v>1173</v>
      </c>
      <c r="C156" t="s">
        <v>1174</v>
      </c>
      <c r="D156" t="s">
        <v>686</v>
      </c>
      <c r="E156">
        <v>85</v>
      </c>
      <c r="F156">
        <v>1</v>
      </c>
      <c r="G156" s="30">
        <v>1E-4</v>
      </c>
      <c r="H156" s="30">
        <v>0</v>
      </c>
      <c r="I156">
        <v>117</v>
      </c>
      <c r="J156">
        <v>1</v>
      </c>
      <c r="K156" s="30">
        <v>1E-4</v>
      </c>
      <c r="L156" s="30">
        <v>0</v>
      </c>
      <c r="M156" s="30">
        <v>1</v>
      </c>
      <c r="N156" s="30">
        <v>1</v>
      </c>
      <c r="O156">
        <v>12</v>
      </c>
      <c r="P156">
        <v>0</v>
      </c>
      <c r="Q156" s="30">
        <v>0.14119999999999999</v>
      </c>
      <c r="R156" s="30">
        <v>0</v>
      </c>
      <c r="S156" s="31">
        <v>431.88</v>
      </c>
      <c r="T156" s="31">
        <v>0</v>
      </c>
      <c r="U156">
        <v>10</v>
      </c>
      <c r="V156">
        <v>0</v>
      </c>
      <c r="AA156" t="s">
        <v>686</v>
      </c>
      <c r="AB156">
        <v>12</v>
      </c>
      <c r="AC156" t="s">
        <v>686</v>
      </c>
      <c r="AD156" s="31">
        <v>431.88</v>
      </c>
      <c r="AE156" t="s">
        <v>686</v>
      </c>
      <c r="AF156">
        <v>85</v>
      </c>
      <c r="AG156" t="s">
        <v>686</v>
      </c>
      <c r="AH156" s="30">
        <v>1</v>
      </c>
    </row>
    <row r="157" spans="1:34" x14ac:dyDescent="0.2">
      <c r="A157" t="s">
        <v>2197</v>
      </c>
      <c r="B157" t="s">
        <v>1201</v>
      </c>
      <c r="C157" t="s">
        <v>1904</v>
      </c>
      <c r="D157" t="s">
        <v>688</v>
      </c>
      <c r="E157">
        <v>50</v>
      </c>
      <c r="F157">
        <v>0</v>
      </c>
      <c r="G157" s="30">
        <v>0</v>
      </c>
      <c r="H157" s="30">
        <v>0</v>
      </c>
      <c r="I157">
        <v>63</v>
      </c>
      <c r="J157">
        <v>0</v>
      </c>
      <c r="K157" s="30">
        <v>0</v>
      </c>
      <c r="L157" s="30">
        <v>0</v>
      </c>
      <c r="M157" s="30">
        <v>0.1724</v>
      </c>
      <c r="N157" s="30">
        <v>0</v>
      </c>
      <c r="O157">
        <v>2</v>
      </c>
      <c r="P157">
        <v>0</v>
      </c>
      <c r="Q157" s="30">
        <v>0.04</v>
      </c>
      <c r="R157" s="30">
        <v>0</v>
      </c>
      <c r="S157" s="31">
        <v>95.98</v>
      </c>
      <c r="T157" s="31">
        <v>0</v>
      </c>
      <c r="U157">
        <v>2</v>
      </c>
      <c r="V157">
        <v>0</v>
      </c>
      <c r="AA157" t="s">
        <v>688</v>
      </c>
      <c r="AB157">
        <v>2</v>
      </c>
      <c r="AC157" t="s">
        <v>688</v>
      </c>
      <c r="AD157" s="31">
        <v>95.98</v>
      </c>
      <c r="AE157" t="s">
        <v>688</v>
      </c>
      <c r="AF157">
        <v>50</v>
      </c>
      <c r="AG157" t="s">
        <v>688</v>
      </c>
      <c r="AH157" s="30">
        <v>0.1724</v>
      </c>
    </row>
    <row r="158" spans="1:34" x14ac:dyDescent="0.2">
      <c r="A158" t="s">
        <v>2045</v>
      </c>
      <c r="B158" t="s">
        <v>1175</v>
      </c>
      <c r="C158" t="s">
        <v>1916</v>
      </c>
      <c r="D158" t="s">
        <v>691</v>
      </c>
      <c r="E158">
        <v>19</v>
      </c>
      <c r="F158">
        <v>1</v>
      </c>
      <c r="G158" s="30">
        <v>0</v>
      </c>
      <c r="H158" s="30">
        <v>0</v>
      </c>
      <c r="I158">
        <v>28</v>
      </c>
      <c r="J158">
        <v>2</v>
      </c>
      <c r="K158" s="30">
        <v>0</v>
      </c>
      <c r="L158" s="30">
        <v>1E-4</v>
      </c>
      <c r="M158" s="30">
        <v>0.125</v>
      </c>
      <c r="N158" s="30">
        <v>0</v>
      </c>
      <c r="O158">
        <v>2</v>
      </c>
      <c r="P158">
        <v>0</v>
      </c>
      <c r="Q158" s="30">
        <v>5.2600000000000001E-2</v>
      </c>
      <c r="R158" s="30">
        <v>0</v>
      </c>
      <c r="S158" s="31">
        <v>95.98</v>
      </c>
      <c r="T158" s="31">
        <v>0</v>
      </c>
      <c r="U158">
        <v>1</v>
      </c>
      <c r="V158">
        <v>0</v>
      </c>
      <c r="AA158" t="s">
        <v>691</v>
      </c>
      <c r="AB158">
        <v>2</v>
      </c>
      <c r="AC158" t="s">
        <v>691</v>
      </c>
      <c r="AD158" s="31">
        <v>95.98</v>
      </c>
      <c r="AE158" t="s">
        <v>691</v>
      </c>
      <c r="AF158">
        <v>19</v>
      </c>
      <c r="AG158" t="s">
        <v>691</v>
      </c>
      <c r="AH158" s="30">
        <v>0.125</v>
      </c>
    </row>
    <row r="159" spans="1:34" x14ac:dyDescent="0.2">
      <c r="A159" t="s">
        <v>2197</v>
      </c>
      <c r="B159" t="s">
        <v>2161</v>
      </c>
      <c r="C159" t="s">
        <v>2162</v>
      </c>
      <c r="D159" t="s">
        <v>693</v>
      </c>
      <c r="E159">
        <v>42</v>
      </c>
      <c r="F159">
        <v>0</v>
      </c>
      <c r="G159" s="30">
        <v>0</v>
      </c>
      <c r="H159" s="30">
        <v>0</v>
      </c>
      <c r="I159">
        <v>54</v>
      </c>
      <c r="J159">
        <v>0</v>
      </c>
      <c r="K159" s="30">
        <v>0</v>
      </c>
      <c r="L159" s="30">
        <v>0</v>
      </c>
      <c r="M159" s="30">
        <v>0.98</v>
      </c>
      <c r="N159" s="30">
        <v>0</v>
      </c>
      <c r="O159">
        <v>2</v>
      </c>
      <c r="P159">
        <v>0</v>
      </c>
      <c r="Q159" s="30">
        <v>4.7600000000000003E-2</v>
      </c>
      <c r="R159" s="30">
        <v>0</v>
      </c>
      <c r="S159" s="31">
        <v>95.98</v>
      </c>
      <c r="T159" s="31">
        <v>0</v>
      </c>
      <c r="U159">
        <v>2</v>
      </c>
      <c r="V159">
        <v>0</v>
      </c>
      <c r="AA159" t="s">
        <v>693</v>
      </c>
      <c r="AB159">
        <v>2</v>
      </c>
      <c r="AC159" t="s">
        <v>693</v>
      </c>
      <c r="AD159" s="31">
        <v>95.98</v>
      </c>
      <c r="AE159" t="s">
        <v>693</v>
      </c>
      <c r="AF159">
        <v>42</v>
      </c>
      <c r="AG159" t="s">
        <v>693</v>
      </c>
      <c r="AH159" s="30">
        <v>0.98</v>
      </c>
    </row>
    <row r="160" spans="1:34" x14ac:dyDescent="0.2">
      <c r="A160" t="s">
        <v>1702</v>
      </c>
      <c r="B160" t="s">
        <v>2061</v>
      </c>
      <c r="C160" t="s">
        <v>2062</v>
      </c>
      <c r="D160" t="s">
        <v>699</v>
      </c>
      <c r="E160">
        <v>18</v>
      </c>
      <c r="F160">
        <v>0</v>
      </c>
      <c r="G160" s="30">
        <v>0</v>
      </c>
      <c r="H160" s="30">
        <v>0</v>
      </c>
      <c r="I160">
        <v>27</v>
      </c>
      <c r="J160">
        <v>0</v>
      </c>
      <c r="K160" s="30">
        <v>0</v>
      </c>
      <c r="L160" s="30">
        <v>0</v>
      </c>
      <c r="M160" s="30">
        <v>0.78259999999999996</v>
      </c>
      <c r="N160" s="30">
        <v>0</v>
      </c>
      <c r="O160">
        <v>2</v>
      </c>
      <c r="P160">
        <v>0</v>
      </c>
      <c r="Q160" s="30">
        <v>0.1111</v>
      </c>
      <c r="R160" s="30">
        <v>0</v>
      </c>
      <c r="S160" s="31">
        <v>89.98</v>
      </c>
      <c r="T160" s="31">
        <v>0</v>
      </c>
      <c r="U160">
        <v>1</v>
      </c>
      <c r="V160">
        <v>0</v>
      </c>
      <c r="AA160" t="s">
        <v>699</v>
      </c>
      <c r="AB160">
        <v>2</v>
      </c>
      <c r="AC160" t="s">
        <v>699</v>
      </c>
      <c r="AD160" s="31">
        <v>89.98</v>
      </c>
      <c r="AE160" t="s">
        <v>699</v>
      </c>
      <c r="AF160">
        <v>18</v>
      </c>
      <c r="AG160" t="s">
        <v>699</v>
      </c>
      <c r="AH160" s="30">
        <v>0.78259999999999996</v>
      </c>
    </row>
    <row r="161" spans="1:34" x14ac:dyDescent="0.2">
      <c r="A161" t="s">
        <v>1702</v>
      </c>
      <c r="B161" t="s">
        <v>2247</v>
      </c>
      <c r="C161" t="s">
        <v>2248</v>
      </c>
      <c r="D161" t="s">
        <v>702</v>
      </c>
      <c r="E161">
        <v>23</v>
      </c>
      <c r="F161">
        <v>0</v>
      </c>
      <c r="G161" s="30">
        <v>0</v>
      </c>
      <c r="H161" s="30">
        <v>0</v>
      </c>
      <c r="I161">
        <v>25</v>
      </c>
      <c r="J161">
        <v>0</v>
      </c>
      <c r="K161" s="30">
        <v>0</v>
      </c>
      <c r="L161" s="30">
        <v>0</v>
      </c>
      <c r="M161" s="30">
        <v>0.75</v>
      </c>
      <c r="N161" s="30">
        <v>0</v>
      </c>
      <c r="O161">
        <v>2</v>
      </c>
      <c r="P161">
        <v>0</v>
      </c>
      <c r="Q161" s="30">
        <v>8.6999999999999994E-2</v>
      </c>
      <c r="R161" s="30">
        <v>0</v>
      </c>
      <c r="S161" s="31">
        <v>89.98</v>
      </c>
      <c r="T161" s="31">
        <v>0</v>
      </c>
      <c r="U161">
        <v>1</v>
      </c>
      <c r="V161">
        <v>0</v>
      </c>
      <c r="AA161" t="s">
        <v>702</v>
      </c>
      <c r="AB161">
        <v>2</v>
      </c>
      <c r="AC161" t="s">
        <v>702</v>
      </c>
      <c r="AD161" s="31">
        <v>89.98</v>
      </c>
      <c r="AE161" t="s">
        <v>702</v>
      </c>
      <c r="AF161">
        <v>23</v>
      </c>
      <c r="AG161" t="s">
        <v>702</v>
      </c>
      <c r="AH161" s="30">
        <v>0.75</v>
      </c>
    </row>
    <row r="162" spans="1:34" x14ac:dyDescent="0.2">
      <c r="A162" t="s">
        <v>1702</v>
      </c>
      <c r="B162" t="s">
        <v>2249</v>
      </c>
      <c r="C162" t="s">
        <v>2250</v>
      </c>
      <c r="D162" t="s">
        <v>704</v>
      </c>
      <c r="E162">
        <v>26</v>
      </c>
      <c r="F162">
        <v>0</v>
      </c>
      <c r="G162" s="30">
        <v>0</v>
      </c>
      <c r="H162" s="30">
        <v>0</v>
      </c>
      <c r="I162">
        <v>32</v>
      </c>
      <c r="J162">
        <v>0</v>
      </c>
      <c r="K162" s="30">
        <v>0</v>
      </c>
      <c r="L162" s="30">
        <v>0</v>
      </c>
      <c r="M162" s="30">
        <v>0.77780000000000005</v>
      </c>
      <c r="N162" s="30">
        <v>0</v>
      </c>
      <c r="O162">
        <v>3</v>
      </c>
      <c r="P162">
        <v>0</v>
      </c>
      <c r="Q162" s="30">
        <v>0.1154</v>
      </c>
      <c r="R162" s="30">
        <v>0</v>
      </c>
      <c r="S162" s="31">
        <v>134.97</v>
      </c>
      <c r="T162" s="31">
        <v>0</v>
      </c>
      <c r="U162">
        <v>2</v>
      </c>
      <c r="V162">
        <v>0</v>
      </c>
      <c r="AA162" t="s">
        <v>704</v>
      </c>
      <c r="AB162">
        <v>3</v>
      </c>
      <c r="AC162" t="s">
        <v>704</v>
      </c>
      <c r="AD162" s="31">
        <v>134.97</v>
      </c>
      <c r="AE162" t="s">
        <v>704</v>
      </c>
      <c r="AF162">
        <v>26</v>
      </c>
      <c r="AG162" t="s">
        <v>704</v>
      </c>
      <c r="AH162" s="30">
        <v>0.77780000000000005</v>
      </c>
    </row>
    <row r="163" spans="1:34" x14ac:dyDescent="0.2">
      <c r="A163" t="s">
        <v>1702</v>
      </c>
      <c r="B163" t="s">
        <v>2100</v>
      </c>
      <c r="C163" t="s">
        <v>2101</v>
      </c>
      <c r="D163" t="s">
        <v>706</v>
      </c>
      <c r="E163">
        <v>23</v>
      </c>
      <c r="F163">
        <v>0</v>
      </c>
      <c r="G163" s="30">
        <v>0</v>
      </c>
      <c r="H163" s="30">
        <v>0</v>
      </c>
      <c r="I163">
        <v>35</v>
      </c>
      <c r="J163">
        <v>0</v>
      </c>
      <c r="K163" s="30">
        <v>0</v>
      </c>
      <c r="L163" s="30">
        <v>0</v>
      </c>
      <c r="M163" s="30">
        <v>1</v>
      </c>
      <c r="N163" s="30">
        <v>0</v>
      </c>
      <c r="O163">
        <v>3</v>
      </c>
      <c r="P163">
        <v>0</v>
      </c>
      <c r="Q163" s="30">
        <v>0.13039999999999999</v>
      </c>
      <c r="R163" s="30">
        <v>0</v>
      </c>
      <c r="S163" s="31">
        <v>134.97</v>
      </c>
      <c r="T163" s="31">
        <v>0</v>
      </c>
      <c r="U163">
        <v>2</v>
      </c>
      <c r="V163">
        <v>0</v>
      </c>
      <c r="AA163" t="s">
        <v>706</v>
      </c>
      <c r="AB163">
        <v>3</v>
      </c>
      <c r="AC163" t="s">
        <v>706</v>
      </c>
      <c r="AD163" s="31">
        <v>134.97</v>
      </c>
      <c r="AE163" t="s">
        <v>706</v>
      </c>
      <c r="AF163">
        <v>23</v>
      </c>
      <c r="AG163" t="s">
        <v>706</v>
      </c>
      <c r="AH163" s="30">
        <v>1</v>
      </c>
    </row>
    <row r="164" spans="1:34" x14ac:dyDescent="0.2">
      <c r="A164" t="s">
        <v>1702</v>
      </c>
      <c r="B164" t="s">
        <v>2013</v>
      </c>
      <c r="C164" t="s">
        <v>2014</v>
      </c>
      <c r="D164" t="s">
        <v>708</v>
      </c>
      <c r="E164">
        <v>19</v>
      </c>
      <c r="F164">
        <v>0</v>
      </c>
      <c r="G164" s="30">
        <v>0</v>
      </c>
      <c r="H164" s="30">
        <v>0</v>
      </c>
      <c r="I164">
        <v>23</v>
      </c>
      <c r="J164">
        <v>0</v>
      </c>
      <c r="K164" s="30">
        <v>0</v>
      </c>
      <c r="L164" s="30">
        <v>0</v>
      </c>
      <c r="M164" s="30">
        <v>1</v>
      </c>
      <c r="N164" s="30">
        <v>0</v>
      </c>
      <c r="O164">
        <v>4</v>
      </c>
      <c r="P164">
        <v>0</v>
      </c>
      <c r="Q164" s="30">
        <v>0.21049999999999999</v>
      </c>
      <c r="R164" s="30">
        <v>0</v>
      </c>
      <c r="S164" s="31">
        <v>179.96</v>
      </c>
      <c r="T164" s="31">
        <v>0</v>
      </c>
      <c r="U164">
        <v>4</v>
      </c>
      <c r="V164">
        <v>0</v>
      </c>
      <c r="AA164" t="s">
        <v>708</v>
      </c>
      <c r="AB164">
        <v>4</v>
      </c>
      <c r="AC164" t="s">
        <v>708</v>
      </c>
      <c r="AD164" s="31">
        <v>179.96</v>
      </c>
      <c r="AE164" t="s">
        <v>708</v>
      </c>
      <c r="AF164">
        <v>19</v>
      </c>
      <c r="AG164" t="s">
        <v>708</v>
      </c>
      <c r="AH164" s="30">
        <v>1</v>
      </c>
    </row>
    <row r="165" spans="1:34" x14ac:dyDescent="0.2">
      <c r="A165" t="s">
        <v>2107</v>
      </c>
      <c r="B165" t="s">
        <v>2112</v>
      </c>
      <c r="C165" t="s">
        <v>2113</v>
      </c>
      <c r="D165" t="s">
        <v>727</v>
      </c>
      <c r="E165">
        <v>81</v>
      </c>
      <c r="F165">
        <v>0</v>
      </c>
      <c r="G165" s="30">
        <v>1E-4</v>
      </c>
      <c r="H165" s="30">
        <v>0</v>
      </c>
      <c r="I165">
        <v>112</v>
      </c>
      <c r="J165">
        <v>0</v>
      </c>
      <c r="K165" s="30">
        <v>1E-4</v>
      </c>
      <c r="L165" s="30">
        <v>0</v>
      </c>
      <c r="M165" s="30">
        <v>0.96299999999999997</v>
      </c>
      <c r="N165" s="30">
        <v>0</v>
      </c>
      <c r="O165">
        <v>7</v>
      </c>
      <c r="P165">
        <v>0</v>
      </c>
      <c r="Q165" s="30">
        <v>8.6400000000000005E-2</v>
      </c>
      <c r="R165" s="30">
        <v>0</v>
      </c>
      <c r="S165" s="31">
        <v>210</v>
      </c>
      <c r="T165" s="31">
        <v>0</v>
      </c>
      <c r="U165">
        <v>6</v>
      </c>
      <c r="V165">
        <v>0</v>
      </c>
      <c r="AA165" t="s">
        <v>727</v>
      </c>
      <c r="AB165">
        <v>7</v>
      </c>
      <c r="AC165" t="s">
        <v>727</v>
      </c>
      <c r="AD165" s="31">
        <v>210</v>
      </c>
      <c r="AE165" t="s">
        <v>727</v>
      </c>
      <c r="AF165">
        <v>81</v>
      </c>
      <c r="AG165" t="s">
        <v>727</v>
      </c>
      <c r="AH165" s="30">
        <v>0.96299999999999997</v>
      </c>
    </row>
    <row r="166" spans="1:34" x14ac:dyDescent="0.2">
      <c r="A166" t="s">
        <v>2107</v>
      </c>
      <c r="B166" t="s">
        <v>2108</v>
      </c>
      <c r="C166" t="s">
        <v>2109</v>
      </c>
      <c r="D166" t="s">
        <v>730</v>
      </c>
      <c r="E166">
        <v>36</v>
      </c>
      <c r="F166">
        <v>0</v>
      </c>
      <c r="G166" s="30">
        <v>0</v>
      </c>
      <c r="H166" s="30">
        <v>0</v>
      </c>
      <c r="I166">
        <v>51</v>
      </c>
      <c r="J166">
        <v>0</v>
      </c>
      <c r="K166" s="30">
        <v>0</v>
      </c>
      <c r="L166" s="30">
        <v>0</v>
      </c>
      <c r="M166" s="30">
        <v>0.93879999999999997</v>
      </c>
      <c r="N166" s="30">
        <v>0</v>
      </c>
      <c r="O166">
        <v>5</v>
      </c>
      <c r="P166">
        <v>0</v>
      </c>
      <c r="Q166" s="30">
        <v>0.1389</v>
      </c>
      <c r="R166" s="30">
        <v>0</v>
      </c>
      <c r="S166" s="31">
        <v>150</v>
      </c>
      <c r="T166" s="31">
        <v>0</v>
      </c>
      <c r="U166">
        <v>5</v>
      </c>
      <c r="V166">
        <v>0</v>
      </c>
      <c r="AA166" t="s">
        <v>730</v>
      </c>
      <c r="AB166">
        <v>5</v>
      </c>
      <c r="AC166" t="s">
        <v>730</v>
      </c>
      <c r="AD166" s="31">
        <v>150</v>
      </c>
      <c r="AE166" t="s">
        <v>730</v>
      </c>
      <c r="AF166">
        <v>36</v>
      </c>
      <c r="AG166" t="s">
        <v>730</v>
      </c>
      <c r="AH166" s="30">
        <v>0.93879999999999997</v>
      </c>
    </row>
    <row r="167" spans="1:34" x14ac:dyDescent="0.2">
      <c r="A167" t="s">
        <v>2107</v>
      </c>
      <c r="B167" t="s">
        <v>2124</v>
      </c>
      <c r="C167" t="s">
        <v>2125</v>
      </c>
      <c r="D167" t="s">
        <v>732</v>
      </c>
      <c r="E167">
        <v>64</v>
      </c>
      <c r="F167">
        <v>0</v>
      </c>
      <c r="G167" s="30">
        <v>0</v>
      </c>
      <c r="H167" s="30">
        <v>0</v>
      </c>
      <c r="I167">
        <v>78</v>
      </c>
      <c r="J167">
        <v>0</v>
      </c>
      <c r="K167" s="30">
        <v>0</v>
      </c>
      <c r="L167" s="30">
        <v>0</v>
      </c>
      <c r="M167" s="30">
        <v>1</v>
      </c>
      <c r="N167" s="30">
        <v>0</v>
      </c>
      <c r="O167">
        <v>3</v>
      </c>
      <c r="P167">
        <v>0</v>
      </c>
      <c r="Q167" s="30">
        <v>4.6899999999999997E-2</v>
      </c>
      <c r="R167" s="30">
        <v>0</v>
      </c>
      <c r="S167" s="31">
        <v>90</v>
      </c>
      <c r="T167" s="31">
        <v>0</v>
      </c>
      <c r="U167">
        <v>3</v>
      </c>
      <c r="V167">
        <v>0</v>
      </c>
      <c r="AA167" t="s">
        <v>732</v>
      </c>
      <c r="AB167">
        <v>3</v>
      </c>
      <c r="AC167" t="s">
        <v>732</v>
      </c>
      <c r="AD167" s="31">
        <v>90</v>
      </c>
      <c r="AE167" t="s">
        <v>732</v>
      </c>
      <c r="AF167">
        <v>64</v>
      </c>
      <c r="AG167" t="s">
        <v>732</v>
      </c>
      <c r="AH167" s="30">
        <v>1</v>
      </c>
    </row>
    <row r="168" spans="1:34" x14ac:dyDescent="0.2">
      <c r="A168" t="s">
        <v>2107</v>
      </c>
      <c r="B168" t="s">
        <v>2122</v>
      </c>
      <c r="C168" t="s">
        <v>2123</v>
      </c>
      <c r="D168" t="s">
        <v>734</v>
      </c>
      <c r="E168">
        <v>63</v>
      </c>
      <c r="F168">
        <v>2</v>
      </c>
      <c r="G168" s="30">
        <v>0</v>
      </c>
      <c r="H168" s="30">
        <v>1E-4</v>
      </c>
      <c r="I168">
        <v>76</v>
      </c>
      <c r="J168">
        <v>4</v>
      </c>
      <c r="K168" s="30">
        <v>0</v>
      </c>
      <c r="L168" s="30">
        <v>1E-4</v>
      </c>
      <c r="M168" s="30">
        <v>0.98650000000000004</v>
      </c>
      <c r="N168" s="30">
        <v>1</v>
      </c>
      <c r="O168">
        <v>6</v>
      </c>
      <c r="P168">
        <v>0</v>
      </c>
      <c r="Q168" s="30">
        <v>9.5200000000000007E-2</v>
      </c>
      <c r="R168" s="30">
        <v>0</v>
      </c>
      <c r="S168" s="31">
        <v>180</v>
      </c>
      <c r="T168" s="31">
        <v>0</v>
      </c>
      <c r="U168">
        <v>4</v>
      </c>
      <c r="V168">
        <v>0</v>
      </c>
      <c r="AA168" t="s">
        <v>734</v>
      </c>
      <c r="AB168">
        <v>6</v>
      </c>
      <c r="AC168" t="s">
        <v>734</v>
      </c>
      <c r="AD168" s="31">
        <v>180</v>
      </c>
      <c r="AE168" t="s">
        <v>734</v>
      </c>
      <c r="AF168">
        <v>63</v>
      </c>
      <c r="AG168" t="s">
        <v>734</v>
      </c>
      <c r="AH168" s="30">
        <v>0.98650000000000004</v>
      </c>
    </row>
    <row r="169" spans="1:34" x14ac:dyDescent="0.2">
      <c r="A169" t="s">
        <v>2107</v>
      </c>
      <c r="B169" t="s">
        <v>2110</v>
      </c>
      <c r="C169" t="s">
        <v>2111</v>
      </c>
      <c r="D169" t="s">
        <v>736</v>
      </c>
      <c r="E169">
        <v>67</v>
      </c>
      <c r="F169">
        <v>1</v>
      </c>
      <c r="G169" s="30">
        <v>0</v>
      </c>
      <c r="H169" s="30">
        <v>0</v>
      </c>
      <c r="I169">
        <v>91</v>
      </c>
      <c r="J169">
        <v>2</v>
      </c>
      <c r="K169" s="30">
        <v>0</v>
      </c>
      <c r="L169" s="30">
        <v>1E-4</v>
      </c>
      <c r="M169" s="30">
        <v>0.97699999999999998</v>
      </c>
      <c r="N169" s="30">
        <v>1</v>
      </c>
      <c r="O169">
        <v>11</v>
      </c>
      <c r="P169">
        <v>0</v>
      </c>
      <c r="Q169" s="30">
        <v>0.16420000000000001</v>
      </c>
      <c r="R169" s="30">
        <v>0</v>
      </c>
      <c r="S169" s="31">
        <v>330</v>
      </c>
      <c r="T169" s="31">
        <v>0</v>
      </c>
      <c r="U169">
        <v>7</v>
      </c>
      <c r="V169">
        <v>0</v>
      </c>
      <c r="AA169" t="s">
        <v>736</v>
      </c>
      <c r="AB169">
        <v>11</v>
      </c>
      <c r="AC169" t="s">
        <v>736</v>
      </c>
      <c r="AD169" s="31">
        <v>330</v>
      </c>
      <c r="AE169" t="s">
        <v>736</v>
      </c>
      <c r="AF169">
        <v>67</v>
      </c>
      <c r="AG169" t="s">
        <v>736</v>
      </c>
      <c r="AH169" s="30">
        <v>0.97699999999999998</v>
      </c>
    </row>
    <row r="170" spans="1:34" x14ac:dyDescent="0.2">
      <c r="A170" t="s">
        <v>1993</v>
      </c>
      <c r="B170" t="s">
        <v>1993</v>
      </c>
      <c r="C170" t="s">
        <v>1994</v>
      </c>
      <c r="D170" t="s">
        <v>1767</v>
      </c>
      <c r="E170">
        <v>31</v>
      </c>
      <c r="F170">
        <v>1</v>
      </c>
      <c r="G170" s="30">
        <v>0</v>
      </c>
      <c r="H170" s="30">
        <v>0</v>
      </c>
      <c r="I170">
        <v>40</v>
      </c>
      <c r="J170">
        <v>1</v>
      </c>
      <c r="K170" s="30">
        <v>0</v>
      </c>
      <c r="L170" s="30">
        <v>0</v>
      </c>
      <c r="M170" s="30">
        <v>1</v>
      </c>
      <c r="N170" s="30">
        <v>1</v>
      </c>
      <c r="O170">
        <v>2</v>
      </c>
      <c r="P170">
        <v>0</v>
      </c>
      <c r="Q170" s="30">
        <v>6.4500000000000002E-2</v>
      </c>
      <c r="R170" s="30">
        <v>0</v>
      </c>
      <c r="S170" s="31">
        <v>108</v>
      </c>
      <c r="T170" s="31">
        <v>0</v>
      </c>
      <c r="U170">
        <v>2</v>
      </c>
      <c r="V170">
        <v>0</v>
      </c>
      <c r="AA170" t="s">
        <v>1767</v>
      </c>
      <c r="AB170">
        <v>2</v>
      </c>
      <c r="AC170" t="s">
        <v>1767</v>
      </c>
      <c r="AD170" s="31">
        <v>108</v>
      </c>
      <c r="AE170" t="s">
        <v>1767</v>
      </c>
      <c r="AF170">
        <v>31</v>
      </c>
      <c r="AG170" t="s">
        <v>1767</v>
      </c>
      <c r="AH170" s="30">
        <v>1</v>
      </c>
    </row>
    <row r="171" spans="1:34" x14ac:dyDescent="0.2">
      <c r="A171" t="s">
        <v>1995</v>
      </c>
      <c r="B171" t="s">
        <v>1995</v>
      </c>
      <c r="C171" t="s">
        <v>1996</v>
      </c>
      <c r="D171" t="s">
        <v>1771</v>
      </c>
      <c r="E171">
        <v>15</v>
      </c>
      <c r="F171">
        <v>2</v>
      </c>
      <c r="G171" s="30">
        <v>0</v>
      </c>
      <c r="H171" s="30">
        <v>1E-4</v>
      </c>
      <c r="I171">
        <v>21</v>
      </c>
      <c r="J171">
        <v>2</v>
      </c>
      <c r="K171" s="30">
        <v>0</v>
      </c>
      <c r="L171" s="30">
        <v>1E-4</v>
      </c>
      <c r="M171" s="30">
        <v>1</v>
      </c>
      <c r="N171" s="30">
        <v>0</v>
      </c>
      <c r="O171">
        <v>1</v>
      </c>
      <c r="P171">
        <v>0</v>
      </c>
      <c r="Q171" s="30">
        <v>6.6699999999999995E-2</v>
      </c>
      <c r="R171" s="30">
        <v>0</v>
      </c>
      <c r="S171" s="31">
        <v>42</v>
      </c>
      <c r="T171" s="31">
        <v>0</v>
      </c>
      <c r="U171">
        <v>1</v>
      </c>
      <c r="V171">
        <v>0</v>
      </c>
      <c r="AA171" t="s">
        <v>1771</v>
      </c>
      <c r="AB171">
        <v>1</v>
      </c>
      <c r="AC171" t="s">
        <v>1771</v>
      </c>
      <c r="AD171" s="31">
        <v>42</v>
      </c>
      <c r="AE171" t="s">
        <v>1771</v>
      </c>
      <c r="AF171">
        <v>15</v>
      </c>
      <c r="AG171" t="s">
        <v>1771</v>
      </c>
      <c r="AH171" s="30">
        <v>1</v>
      </c>
    </row>
    <row r="172" spans="1:34" x14ac:dyDescent="0.2">
      <c r="A172" t="s">
        <v>2064</v>
      </c>
      <c r="B172" t="s">
        <v>2251</v>
      </c>
      <c r="C172" t="s">
        <v>2252</v>
      </c>
      <c r="D172" t="s">
        <v>1772</v>
      </c>
      <c r="E172">
        <v>18</v>
      </c>
      <c r="F172">
        <v>0</v>
      </c>
      <c r="G172" s="30">
        <v>0</v>
      </c>
      <c r="H172" s="30">
        <v>0</v>
      </c>
      <c r="I172">
        <v>21</v>
      </c>
      <c r="J172">
        <v>0</v>
      </c>
      <c r="K172" s="30">
        <v>0</v>
      </c>
      <c r="L172" s="30">
        <v>0</v>
      </c>
      <c r="M172" s="30">
        <v>1</v>
      </c>
      <c r="N172" s="30">
        <v>0</v>
      </c>
      <c r="O172">
        <v>3</v>
      </c>
      <c r="P172">
        <v>0</v>
      </c>
      <c r="Q172" s="30">
        <v>0.16669999999999999</v>
      </c>
      <c r="R172" s="30">
        <v>0</v>
      </c>
      <c r="S172" s="31">
        <v>171</v>
      </c>
      <c r="T172" s="31">
        <v>0</v>
      </c>
      <c r="U172">
        <v>3</v>
      </c>
      <c r="V172">
        <v>0</v>
      </c>
      <c r="AA172" t="s">
        <v>1772</v>
      </c>
      <c r="AB172">
        <v>3</v>
      </c>
      <c r="AC172" t="s">
        <v>1772</v>
      </c>
      <c r="AD172" s="31">
        <v>171</v>
      </c>
      <c r="AE172" t="s">
        <v>1772</v>
      </c>
      <c r="AF172">
        <v>18</v>
      </c>
      <c r="AG172" t="s">
        <v>1772</v>
      </c>
      <c r="AH172" s="30">
        <v>1</v>
      </c>
    </row>
    <row r="173" spans="1:34" x14ac:dyDescent="0.2">
      <c r="A173" t="s">
        <v>2064</v>
      </c>
      <c r="B173" t="s">
        <v>2065</v>
      </c>
      <c r="C173" t="s">
        <v>2066</v>
      </c>
      <c r="D173" t="s">
        <v>1773</v>
      </c>
      <c r="E173">
        <v>19</v>
      </c>
      <c r="F173">
        <v>0</v>
      </c>
      <c r="G173" s="30">
        <v>0</v>
      </c>
      <c r="H173" s="30">
        <v>0</v>
      </c>
      <c r="I173">
        <v>23</v>
      </c>
      <c r="J173">
        <v>0</v>
      </c>
      <c r="K173" s="30">
        <v>0</v>
      </c>
      <c r="L173" s="30">
        <v>0</v>
      </c>
      <c r="M173" s="30">
        <v>1</v>
      </c>
      <c r="N173" s="30">
        <v>0</v>
      </c>
      <c r="O173">
        <v>2</v>
      </c>
      <c r="P173">
        <v>0</v>
      </c>
      <c r="Q173" s="30">
        <v>0.1053</v>
      </c>
      <c r="R173" s="30">
        <v>0</v>
      </c>
      <c r="S173" s="31">
        <v>114</v>
      </c>
      <c r="T173" s="31">
        <v>0</v>
      </c>
      <c r="U173">
        <v>2</v>
      </c>
      <c r="V173">
        <v>0</v>
      </c>
      <c r="AA173" t="s">
        <v>1773</v>
      </c>
      <c r="AB173">
        <v>2</v>
      </c>
      <c r="AC173" t="s">
        <v>1773</v>
      </c>
      <c r="AD173" s="31">
        <v>114</v>
      </c>
      <c r="AE173" t="s">
        <v>1773</v>
      </c>
      <c r="AF173">
        <v>19</v>
      </c>
      <c r="AG173" t="s">
        <v>1773</v>
      </c>
      <c r="AH173" s="30">
        <v>1</v>
      </c>
    </row>
    <row r="174" spans="1:34" x14ac:dyDescent="0.2">
      <c r="A174" t="s">
        <v>2064</v>
      </c>
      <c r="B174" t="s">
        <v>2067</v>
      </c>
      <c r="C174" t="s">
        <v>2068</v>
      </c>
      <c r="D174" t="s">
        <v>1775</v>
      </c>
      <c r="E174">
        <v>38</v>
      </c>
      <c r="F174">
        <v>0</v>
      </c>
      <c r="G174" s="30">
        <v>0</v>
      </c>
      <c r="H174" s="30">
        <v>0</v>
      </c>
      <c r="I174">
        <v>46</v>
      </c>
      <c r="J174">
        <v>0</v>
      </c>
      <c r="K174" s="30">
        <v>0</v>
      </c>
      <c r="L174" s="30">
        <v>0</v>
      </c>
      <c r="M174" s="30">
        <v>1</v>
      </c>
      <c r="N174" s="30">
        <v>0</v>
      </c>
      <c r="O174">
        <v>6</v>
      </c>
      <c r="P174">
        <v>0</v>
      </c>
      <c r="Q174" s="30">
        <v>0.15790000000000001</v>
      </c>
      <c r="R174" s="30">
        <v>0</v>
      </c>
      <c r="S174" s="31">
        <v>342</v>
      </c>
      <c r="T174" s="31">
        <v>0</v>
      </c>
      <c r="U174">
        <v>4</v>
      </c>
      <c r="V174">
        <v>0</v>
      </c>
      <c r="AA174" t="s">
        <v>1775</v>
      </c>
      <c r="AB174">
        <v>6</v>
      </c>
      <c r="AC174" t="s">
        <v>1775</v>
      </c>
      <c r="AD174" s="31">
        <v>342</v>
      </c>
      <c r="AE174" t="s">
        <v>1775</v>
      </c>
      <c r="AF174">
        <v>38</v>
      </c>
      <c r="AG174" t="s">
        <v>1775</v>
      </c>
      <c r="AH174" s="30">
        <v>1</v>
      </c>
    </row>
    <row r="175" spans="1:34" x14ac:dyDescent="0.2">
      <c r="A175" t="s">
        <v>2253</v>
      </c>
      <c r="B175" t="s">
        <v>2253</v>
      </c>
      <c r="C175" t="s">
        <v>2254</v>
      </c>
      <c r="D175" t="s">
        <v>1776</v>
      </c>
      <c r="E175">
        <v>19</v>
      </c>
      <c r="F175">
        <v>0</v>
      </c>
      <c r="G175" s="30">
        <v>0</v>
      </c>
      <c r="H175" s="30">
        <v>0</v>
      </c>
      <c r="I175">
        <v>20</v>
      </c>
      <c r="J175">
        <v>0</v>
      </c>
      <c r="K175" s="30">
        <v>0</v>
      </c>
      <c r="L175" s="30">
        <v>0</v>
      </c>
      <c r="M175" s="30">
        <v>1</v>
      </c>
      <c r="N175" s="30">
        <v>0</v>
      </c>
      <c r="O175">
        <v>4</v>
      </c>
      <c r="P175">
        <v>0</v>
      </c>
      <c r="Q175" s="30">
        <v>0.21049999999999999</v>
      </c>
      <c r="R175" s="30">
        <v>0</v>
      </c>
      <c r="S175" s="31">
        <v>168</v>
      </c>
      <c r="T175" s="31">
        <v>0</v>
      </c>
      <c r="U175">
        <v>4</v>
      </c>
      <c r="V175">
        <v>0</v>
      </c>
      <c r="AA175" t="s">
        <v>1776</v>
      </c>
      <c r="AB175">
        <v>4</v>
      </c>
      <c r="AC175" t="s">
        <v>1776</v>
      </c>
      <c r="AD175" s="31">
        <v>168</v>
      </c>
      <c r="AE175" t="s">
        <v>1776</v>
      </c>
      <c r="AF175">
        <v>19</v>
      </c>
      <c r="AG175" t="s">
        <v>1776</v>
      </c>
      <c r="AH175" s="30">
        <v>1</v>
      </c>
    </row>
    <row r="176" spans="1:34" x14ac:dyDescent="0.2">
      <c r="A176" t="s">
        <v>2255</v>
      </c>
      <c r="B176" t="s">
        <v>2255</v>
      </c>
      <c r="C176" t="s">
        <v>2256</v>
      </c>
      <c r="D176" t="s">
        <v>1777</v>
      </c>
      <c r="E176">
        <v>1</v>
      </c>
      <c r="F176">
        <v>0</v>
      </c>
      <c r="G176" s="30">
        <v>0</v>
      </c>
      <c r="H176" s="30">
        <v>0</v>
      </c>
      <c r="I176">
        <v>5</v>
      </c>
      <c r="J176">
        <v>0</v>
      </c>
      <c r="K176" s="30">
        <v>0</v>
      </c>
      <c r="L176" s="30">
        <v>0</v>
      </c>
      <c r="M176" s="30">
        <v>1</v>
      </c>
      <c r="N176" s="30">
        <v>0</v>
      </c>
      <c r="O176">
        <v>2</v>
      </c>
      <c r="P176">
        <v>0</v>
      </c>
      <c r="Q176" s="30">
        <v>2</v>
      </c>
      <c r="R176" s="30">
        <v>0</v>
      </c>
      <c r="S176" s="31">
        <v>84</v>
      </c>
      <c r="T176" s="31">
        <v>0</v>
      </c>
      <c r="U176">
        <v>1</v>
      </c>
      <c r="V176">
        <v>0</v>
      </c>
      <c r="AA176" t="s">
        <v>1777</v>
      </c>
      <c r="AB176">
        <v>2</v>
      </c>
      <c r="AC176" t="s">
        <v>1777</v>
      </c>
      <c r="AD176" s="31">
        <v>84</v>
      </c>
      <c r="AE176" t="s">
        <v>1777</v>
      </c>
      <c r="AF176">
        <v>1</v>
      </c>
      <c r="AG176" t="s">
        <v>1777</v>
      </c>
      <c r="AH176" s="30">
        <v>1</v>
      </c>
    </row>
    <row r="177" spans="1:34" x14ac:dyDescent="0.2">
      <c r="A177" t="s">
        <v>2114</v>
      </c>
      <c r="B177" t="s">
        <v>2114</v>
      </c>
      <c r="C177" t="s">
        <v>2115</v>
      </c>
      <c r="D177" t="s">
        <v>1778</v>
      </c>
      <c r="E177">
        <v>19</v>
      </c>
      <c r="F177">
        <v>0</v>
      </c>
      <c r="G177" s="30">
        <v>0</v>
      </c>
      <c r="H177" s="30">
        <v>0</v>
      </c>
      <c r="I177">
        <v>24</v>
      </c>
      <c r="J177">
        <v>0</v>
      </c>
      <c r="K177" s="30">
        <v>0</v>
      </c>
      <c r="L177" s="30">
        <v>0</v>
      </c>
      <c r="M177" s="30">
        <v>1</v>
      </c>
      <c r="N177" s="30">
        <v>0</v>
      </c>
      <c r="O177">
        <v>5</v>
      </c>
      <c r="P177">
        <v>0</v>
      </c>
      <c r="Q177" s="30">
        <v>0.26319999999999999</v>
      </c>
      <c r="R177" s="30">
        <v>0</v>
      </c>
      <c r="S177" s="31">
        <v>210</v>
      </c>
      <c r="T177" s="31">
        <v>0</v>
      </c>
      <c r="U177">
        <v>2</v>
      </c>
      <c r="V177">
        <v>0</v>
      </c>
      <c r="AA177" t="s">
        <v>1778</v>
      </c>
      <c r="AB177">
        <v>5</v>
      </c>
      <c r="AC177" t="s">
        <v>1778</v>
      </c>
      <c r="AD177" s="31">
        <v>210</v>
      </c>
      <c r="AE177" t="s">
        <v>1778</v>
      </c>
      <c r="AF177">
        <v>19</v>
      </c>
      <c r="AG177" t="s">
        <v>1778</v>
      </c>
      <c r="AH177" s="30">
        <v>1</v>
      </c>
    </row>
    <row r="178" spans="1:34" x14ac:dyDescent="0.2">
      <c r="A178" t="s">
        <v>2069</v>
      </c>
      <c r="B178" t="s">
        <v>2069</v>
      </c>
      <c r="C178" t="s">
        <v>2070</v>
      </c>
      <c r="D178" t="s">
        <v>1780</v>
      </c>
      <c r="E178">
        <v>23</v>
      </c>
      <c r="F178">
        <v>0</v>
      </c>
      <c r="G178" s="30">
        <v>0</v>
      </c>
      <c r="H178" s="30">
        <v>0</v>
      </c>
      <c r="I178">
        <v>34</v>
      </c>
      <c r="J178">
        <v>0</v>
      </c>
      <c r="K178" s="30">
        <v>0</v>
      </c>
      <c r="L178" s="30">
        <v>0</v>
      </c>
      <c r="M178" s="30">
        <v>1</v>
      </c>
      <c r="N178" s="30">
        <v>0</v>
      </c>
      <c r="O178">
        <v>2</v>
      </c>
      <c r="P178">
        <v>0</v>
      </c>
      <c r="Q178" s="30">
        <v>8.6999999999999994E-2</v>
      </c>
      <c r="R178" s="30">
        <v>0</v>
      </c>
      <c r="S178" s="31">
        <v>84</v>
      </c>
      <c r="T178" s="31">
        <v>0</v>
      </c>
      <c r="U178">
        <v>2</v>
      </c>
      <c r="V178">
        <v>0</v>
      </c>
      <c r="AA178" t="s">
        <v>1780</v>
      </c>
      <c r="AB178">
        <v>2</v>
      </c>
      <c r="AC178" t="s">
        <v>1780</v>
      </c>
      <c r="AD178" s="31">
        <v>84</v>
      </c>
      <c r="AE178" t="s">
        <v>1780</v>
      </c>
      <c r="AF178">
        <v>23</v>
      </c>
      <c r="AG178" t="s">
        <v>1780</v>
      </c>
      <c r="AH178" s="30">
        <v>1</v>
      </c>
    </row>
    <row r="179" spans="1:34" x14ac:dyDescent="0.2">
      <c r="A179" t="s">
        <v>1177</v>
      </c>
      <c r="B179" t="s">
        <v>2071</v>
      </c>
      <c r="C179" t="s">
        <v>2072</v>
      </c>
      <c r="D179" t="s">
        <v>755</v>
      </c>
      <c r="E179">
        <v>57</v>
      </c>
      <c r="F179">
        <v>1</v>
      </c>
      <c r="G179" s="30">
        <v>0</v>
      </c>
      <c r="H179" s="30">
        <v>0</v>
      </c>
      <c r="I179">
        <v>67</v>
      </c>
      <c r="J179">
        <v>1</v>
      </c>
      <c r="K179" s="30">
        <v>0</v>
      </c>
      <c r="L179" s="30">
        <v>0</v>
      </c>
      <c r="M179" s="30">
        <v>1</v>
      </c>
      <c r="N179" s="30">
        <v>0</v>
      </c>
      <c r="O179">
        <v>4</v>
      </c>
      <c r="P179">
        <v>0</v>
      </c>
      <c r="Q179" s="30">
        <v>7.0199999999999999E-2</v>
      </c>
      <c r="R179" s="30">
        <v>0</v>
      </c>
      <c r="S179" s="31">
        <v>191.96</v>
      </c>
      <c r="T179" s="31">
        <v>0</v>
      </c>
      <c r="U179">
        <v>4</v>
      </c>
      <c r="V179">
        <v>0</v>
      </c>
      <c r="AA179" t="s">
        <v>755</v>
      </c>
      <c r="AB179">
        <v>4</v>
      </c>
      <c r="AC179" t="s">
        <v>755</v>
      </c>
      <c r="AD179" s="31">
        <v>191.96</v>
      </c>
      <c r="AE179" t="s">
        <v>755</v>
      </c>
      <c r="AF179">
        <v>57</v>
      </c>
      <c r="AG179" t="s">
        <v>755</v>
      </c>
      <c r="AH179" s="30">
        <v>1</v>
      </c>
    </row>
    <row r="180" spans="1:34" x14ac:dyDescent="0.2">
      <c r="A180" t="s">
        <v>1177</v>
      </c>
      <c r="B180" t="s">
        <v>1178</v>
      </c>
      <c r="C180" t="s">
        <v>1866</v>
      </c>
      <c r="D180" t="s">
        <v>758</v>
      </c>
      <c r="E180">
        <v>69</v>
      </c>
      <c r="F180">
        <v>1</v>
      </c>
      <c r="G180" s="30">
        <v>0</v>
      </c>
      <c r="H180" s="30">
        <v>0</v>
      </c>
      <c r="I180">
        <v>91</v>
      </c>
      <c r="J180">
        <v>1</v>
      </c>
      <c r="K180" s="30">
        <v>0</v>
      </c>
      <c r="L180" s="30">
        <v>0</v>
      </c>
      <c r="M180" s="30">
        <v>0.89290000000000003</v>
      </c>
      <c r="N180" s="30">
        <v>0</v>
      </c>
      <c r="O180">
        <v>4</v>
      </c>
      <c r="P180">
        <v>0</v>
      </c>
      <c r="Q180" s="30">
        <v>5.8000000000000003E-2</v>
      </c>
      <c r="R180" s="30">
        <v>0</v>
      </c>
      <c r="S180" s="31">
        <v>191.96</v>
      </c>
      <c r="T180" s="31">
        <v>0</v>
      </c>
      <c r="U180">
        <v>4</v>
      </c>
      <c r="V180">
        <v>0</v>
      </c>
      <c r="AA180" t="s">
        <v>758</v>
      </c>
      <c r="AB180">
        <v>4</v>
      </c>
      <c r="AC180" t="s">
        <v>758</v>
      </c>
      <c r="AD180" s="31">
        <v>191.96</v>
      </c>
      <c r="AE180" t="s">
        <v>758</v>
      </c>
      <c r="AF180">
        <v>69</v>
      </c>
      <c r="AG180" t="s">
        <v>758</v>
      </c>
      <c r="AH180" s="30">
        <v>0.89290000000000003</v>
      </c>
    </row>
    <row r="181" spans="1:34" x14ac:dyDescent="0.2">
      <c r="A181" t="s">
        <v>1177</v>
      </c>
      <c r="B181" t="s">
        <v>962</v>
      </c>
      <c r="C181" t="s">
        <v>1882</v>
      </c>
      <c r="D181" t="s">
        <v>760</v>
      </c>
      <c r="E181">
        <v>55</v>
      </c>
      <c r="F181">
        <v>2</v>
      </c>
      <c r="G181" s="30">
        <v>0</v>
      </c>
      <c r="H181" s="30">
        <v>1E-4</v>
      </c>
      <c r="I181">
        <v>67</v>
      </c>
      <c r="J181">
        <v>2</v>
      </c>
      <c r="K181" s="30">
        <v>0</v>
      </c>
      <c r="L181" s="30">
        <v>1E-4</v>
      </c>
      <c r="M181" s="30">
        <v>0.96919999999999995</v>
      </c>
      <c r="N181" s="30">
        <v>1</v>
      </c>
      <c r="O181">
        <v>8</v>
      </c>
      <c r="P181">
        <v>1</v>
      </c>
      <c r="Q181" s="30">
        <v>0.14549999999999999</v>
      </c>
      <c r="R181" s="30">
        <v>0.5</v>
      </c>
      <c r="S181" s="31">
        <v>383.92</v>
      </c>
      <c r="T181" s="31">
        <v>47.99</v>
      </c>
      <c r="U181">
        <v>7</v>
      </c>
      <c r="V181">
        <v>1</v>
      </c>
      <c r="AA181" t="s">
        <v>760</v>
      </c>
      <c r="AB181">
        <v>8</v>
      </c>
      <c r="AC181" t="s">
        <v>760</v>
      </c>
      <c r="AD181" s="31">
        <v>383.92</v>
      </c>
      <c r="AE181" t="s">
        <v>760</v>
      </c>
      <c r="AF181">
        <v>55</v>
      </c>
      <c r="AG181" t="s">
        <v>760</v>
      </c>
      <c r="AH181" s="30">
        <v>0.96919999999999995</v>
      </c>
    </row>
    <row r="182" spans="1:34" x14ac:dyDescent="0.2">
      <c r="A182" t="s">
        <v>1177</v>
      </c>
      <c r="B182" t="s">
        <v>963</v>
      </c>
      <c r="C182" t="s">
        <v>1979</v>
      </c>
      <c r="D182" t="s">
        <v>762</v>
      </c>
      <c r="E182">
        <v>85</v>
      </c>
      <c r="F182">
        <v>3</v>
      </c>
      <c r="G182" s="30">
        <v>1E-4</v>
      </c>
      <c r="H182" s="30">
        <v>1E-4</v>
      </c>
      <c r="I182">
        <v>106</v>
      </c>
      <c r="J182">
        <v>4</v>
      </c>
      <c r="K182" s="30">
        <v>1E-4</v>
      </c>
      <c r="L182" s="30">
        <v>1E-4</v>
      </c>
      <c r="M182" s="30">
        <v>0.47</v>
      </c>
      <c r="N182" s="30">
        <v>0</v>
      </c>
      <c r="O182">
        <v>4</v>
      </c>
      <c r="P182">
        <v>0</v>
      </c>
      <c r="Q182" s="30">
        <v>4.7100000000000003E-2</v>
      </c>
      <c r="R182" s="30">
        <v>0</v>
      </c>
      <c r="S182" s="31">
        <v>191.96</v>
      </c>
      <c r="T182" s="31">
        <v>0</v>
      </c>
      <c r="U182">
        <v>4</v>
      </c>
      <c r="V182">
        <v>0</v>
      </c>
      <c r="AA182" t="s">
        <v>762</v>
      </c>
      <c r="AB182">
        <v>4</v>
      </c>
      <c r="AC182" t="s">
        <v>762</v>
      </c>
      <c r="AD182" s="31">
        <v>191.96</v>
      </c>
      <c r="AE182" t="s">
        <v>762</v>
      </c>
      <c r="AF182">
        <v>85</v>
      </c>
      <c r="AG182" t="s">
        <v>762</v>
      </c>
      <c r="AH182" s="30">
        <v>0.47</v>
      </c>
    </row>
    <row r="183" spans="1:34" x14ac:dyDescent="0.2">
      <c r="A183" t="s">
        <v>1177</v>
      </c>
      <c r="B183" t="s">
        <v>1179</v>
      </c>
      <c r="C183" t="s">
        <v>1890</v>
      </c>
      <c r="D183" t="s">
        <v>764</v>
      </c>
      <c r="E183">
        <v>147</v>
      </c>
      <c r="F183">
        <v>3</v>
      </c>
      <c r="G183" s="30">
        <v>1E-4</v>
      </c>
      <c r="H183" s="30">
        <v>1E-4</v>
      </c>
      <c r="I183">
        <v>189</v>
      </c>
      <c r="J183">
        <v>6</v>
      </c>
      <c r="K183" s="30">
        <v>1E-4</v>
      </c>
      <c r="L183" s="30">
        <v>2.0000000000000001E-4</v>
      </c>
      <c r="M183" s="30">
        <v>0.39889999999999998</v>
      </c>
      <c r="N183" s="30">
        <v>0</v>
      </c>
      <c r="O183">
        <v>8</v>
      </c>
      <c r="P183">
        <v>0</v>
      </c>
      <c r="Q183" s="30">
        <v>5.4399999999999997E-2</v>
      </c>
      <c r="R183" s="30">
        <v>0</v>
      </c>
      <c r="S183" s="31">
        <v>383.92</v>
      </c>
      <c r="T183" s="31">
        <v>0</v>
      </c>
      <c r="U183">
        <v>8</v>
      </c>
      <c r="V183">
        <v>0</v>
      </c>
      <c r="AA183" t="s">
        <v>764</v>
      </c>
      <c r="AB183">
        <v>8</v>
      </c>
      <c r="AC183" t="s">
        <v>764</v>
      </c>
      <c r="AD183" s="31">
        <v>383.92</v>
      </c>
      <c r="AE183" t="s">
        <v>764</v>
      </c>
      <c r="AF183">
        <v>147</v>
      </c>
      <c r="AG183" t="s">
        <v>764</v>
      </c>
      <c r="AH183" s="30">
        <v>0.39889999999999998</v>
      </c>
    </row>
    <row r="184" spans="1:34" x14ac:dyDescent="0.2">
      <c r="A184" t="s">
        <v>1177</v>
      </c>
      <c r="B184" t="s">
        <v>1180</v>
      </c>
      <c r="C184" t="s">
        <v>1980</v>
      </c>
      <c r="D184" t="s">
        <v>766</v>
      </c>
      <c r="E184">
        <v>125</v>
      </c>
      <c r="F184">
        <v>4</v>
      </c>
      <c r="G184" s="30">
        <v>1E-4</v>
      </c>
      <c r="H184" s="30">
        <v>2.0000000000000001E-4</v>
      </c>
      <c r="I184">
        <v>165</v>
      </c>
      <c r="J184">
        <v>6</v>
      </c>
      <c r="K184" s="30">
        <v>1E-4</v>
      </c>
      <c r="L184" s="30">
        <v>2.0000000000000001E-4</v>
      </c>
      <c r="M184" s="30">
        <v>0.77480000000000004</v>
      </c>
      <c r="N184" s="30">
        <v>0.75</v>
      </c>
      <c r="O184">
        <v>10</v>
      </c>
      <c r="P184">
        <v>0</v>
      </c>
      <c r="Q184" s="30">
        <v>0.08</v>
      </c>
      <c r="R184" s="30">
        <v>0</v>
      </c>
      <c r="S184" s="31">
        <v>479.9</v>
      </c>
      <c r="T184" s="31">
        <v>0</v>
      </c>
      <c r="U184">
        <v>9</v>
      </c>
      <c r="V184">
        <v>0</v>
      </c>
      <c r="AA184" t="s">
        <v>766</v>
      </c>
      <c r="AB184">
        <v>10</v>
      </c>
      <c r="AC184" t="s">
        <v>766</v>
      </c>
      <c r="AD184" s="31">
        <v>479.9</v>
      </c>
      <c r="AE184" t="s">
        <v>766</v>
      </c>
      <c r="AF184">
        <v>125</v>
      </c>
      <c r="AG184" t="s">
        <v>766</v>
      </c>
      <c r="AH184" s="30">
        <v>0.77480000000000004</v>
      </c>
    </row>
    <row r="185" spans="1:34" x14ac:dyDescent="0.2">
      <c r="A185" t="s">
        <v>1677</v>
      </c>
      <c r="B185" t="s">
        <v>1950</v>
      </c>
      <c r="C185" t="s">
        <v>1951</v>
      </c>
      <c r="D185" t="s">
        <v>768</v>
      </c>
      <c r="E185">
        <v>161</v>
      </c>
      <c r="F185">
        <v>2</v>
      </c>
      <c r="G185" s="30">
        <v>1E-4</v>
      </c>
      <c r="H185" s="30">
        <v>1E-4</v>
      </c>
      <c r="I185">
        <v>255</v>
      </c>
      <c r="J185">
        <v>2</v>
      </c>
      <c r="K185" s="30">
        <v>1E-4</v>
      </c>
      <c r="L185" s="30">
        <v>1E-4</v>
      </c>
      <c r="M185" s="30">
        <v>0.36630000000000001</v>
      </c>
      <c r="N185" s="30">
        <v>1</v>
      </c>
      <c r="O185">
        <v>12</v>
      </c>
      <c r="P185">
        <v>5</v>
      </c>
      <c r="Q185" s="30">
        <v>7.4499999999999997E-2</v>
      </c>
      <c r="R185" s="30">
        <v>2.5</v>
      </c>
      <c r="S185" s="31">
        <v>527.88</v>
      </c>
      <c r="T185" s="31">
        <v>219.95</v>
      </c>
      <c r="U185">
        <v>8</v>
      </c>
      <c r="V185">
        <v>1</v>
      </c>
      <c r="AA185" t="s">
        <v>768</v>
      </c>
      <c r="AB185">
        <v>12</v>
      </c>
      <c r="AC185" t="s">
        <v>768</v>
      </c>
      <c r="AD185" s="31">
        <v>527.88</v>
      </c>
      <c r="AE185" t="s">
        <v>768</v>
      </c>
      <c r="AF185">
        <v>161</v>
      </c>
      <c r="AG185" t="s">
        <v>768</v>
      </c>
      <c r="AH185" s="30">
        <v>0.36630000000000001</v>
      </c>
    </row>
    <row r="186" spans="1:34" x14ac:dyDescent="0.2">
      <c r="A186" t="s">
        <v>1677</v>
      </c>
      <c r="B186" t="s">
        <v>1706</v>
      </c>
      <c r="C186" t="s">
        <v>1707</v>
      </c>
      <c r="D186" t="s">
        <v>771</v>
      </c>
      <c r="E186">
        <v>31</v>
      </c>
      <c r="F186">
        <v>1</v>
      </c>
      <c r="G186" s="30">
        <v>0</v>
      </c>
      <c r="H186" s="30">
        <v>0</v>
      </c>
      <c r="I186">
        <v>55</v>
      </c>
      <c r="J186">
        <v>1</v>
      </c>
      <c r="K186" s="30">
        <v>0</v>
      </c>
      <c r="L186" s="30">
        <v>0</v>
      </c>
      <c r="M186" s="30">
        <v>1</v>
      </c>
      <c r="N186" s="30">
        <v>1</v>
      </c>
      <c r="O186">
        <v>12</v>
      </c>
      <c r="P186">
        <v>1</v>
      </c>
      <c r="Q186" s="30">
        <v>0.3871</v>
      </c>
      <c r="R186" s="30">
        <v>1</v>
      </c>
      <c r="S186" s="31">
        <v>527.88</v>
      </c>
      <c r="T186" s="31">
        <v>43.99</v>
      </c>
      <c r="U186">
        <v>9</v>
      </c>
      <c r="V186">
        <v>1</v>
      </c>
      <c r="AA186" t="s">
        <v>771</v>
      </c>
      <c r="AB186">
        <v>12</v>
      </c>
      <c r="AC186" t="s">
        <v>771</v>
      </c>
      <c r="AD186" s="31">
        <v>527.88</v>
      </c>
      <c r="AE186" t="s">
        <v>771</v>
      </c>
      <c r="AF186">
        <v>31</v>
      </c>
      <c r="AG186" t="s">
        <v>771</v>
      </c>
      <c r="AH186" s="30">
        <v>1</v>
      </c>
    </row>
    <row r="187" spans="1:34" x14ac:dyDescent="0.2">
      <c r="A187" t="s">
        <v>1677</v>
      </c>
      <c r="B187" t="s">
        <v>1181</v>
      </c>
      <c r="C187" t="s">
        <v>1678</v>
      </c>
      <c r="D187" t="s">
        <v>773</v>
      </c>
      <c r="E187">
        <v>79</v>
      </c>
      <c r="F187">
        <v>3</v>
      </c>
      <c r="G187" s="30">
        <v>0</v>
      </c>
      <c r="H187" s="30">
        <v>1E-4</v>
      </c>
      <c r="I187">
        <v>117</v>
      </c>
      <c r="J187">
        <v>3</v>
      </c>
      <c r="K187" s="30">
        <v>1E-4</v>
      </c>
      <c r="L187" s="30">
        <v>1E-4</v>
      </c>
      <c r="M187" s="30">
        <v>0.71789999999999998</v>
      </c>
      <c r="N187" s="30">
        <v>0.66669999999999996</v>
      </c>
      <c r="O187">
        <v>8</v>
      </c>
      <c r="P187">
        <v>1</v>
      </c>
      <c r="Q187" s="30">
        <v>0.1013</v>
      </c>
      <c r="R187" s="30">
        <v>0.33329999999999999</v>
      </c>
      <c r="S187" s="31">
        <v>351.92</v>
      </c>
      <c r="T187" s="31">
        <v>43.99</v>
      </c>
      <c r="U187">
        <v>8</v>
      </c>
      <c r="V187">
        <v>1</v>
      </c>
      <c r="AA187" t="s">
        <v>773</v>
      </c>
      <c r="AB187">
        <v>8</v>
      </c>
      <c r="AC187" t="s">
        <v>773</v>
      </c>
      <c r="AD187" s="31">
        <v>351.92</v>
      </c>
      <c r="AE187" t="s">
        <v>773</v>
      </c>
      <c r="AF187">
        <v>79</v>
      </c>
      <c r="AG187" t="s">
        <v>773</v>
      </c>
      <c r="AH187" s="30">
        <v>0.71789999999999998</v>
      </c>
    </row>
    <row r="188" spans="1:34" x14ac:dyDescent="0.2">
      <c r="A188" t="s">
        <v>1871</v>
      </c>
      <c r="B188" t="s">
        <v>1883</v>
      </c>
      <c r="C188" t="s">
        <v>1884</v>
      </c>
      <c r="D188" t="s">
        <v>780</v>
      </c>
      <c r="E188">
        <v>59</v>
      </c>
      <c r="F188">
        <v>0</v>
      </c>
      <c r="G188" s="30">
        <v>0</v>
      </c>
      <c r="H188" s="30">
        <v>0</v>
      </c>
      <c r="I188">
        <v>74</v>
      </c>
      <c r="J188">
        <v>0</v>
      </c>
      <c r="K188" s="30">
        <v>0</v>
      </c>
      <c r="L188" s="30">
        <v>0</v>
      </c>
      <c r="M188" s="30">
        <v>7.1400000000000005E-2</v>
      </c>
      <c r="N188" s="30">
        <v>0</v>
      </c>
      <c r="O188">
        <v>1</v>
      </c>
      <c r="P188">
        <v>0</v>
      </c>
      <c r="Q188" s="30">
        <v>1.6899999999999998E-2</v>
      </c>
      <c r="R188" s="30">
        <v>0</v>
      </c>
      <c r="S188" s="31">
        <v>29.99</v>
      </c>
      <c r="T188" s="31">
        <v>0</v>
      </c>
      <c r="U188">
        <v>1</v>
      </c>
      <c r="V188">
        <v>0</v>
      </c>
      <c r="AA188" t="s">
        <v>780</v>
      </c>
      <c r="AB188">
        <v>1</v>
      </c>
      <c r="AC188" t="s">
        <v>780</v>
      </c>
      <c r="AD188" s="31">
        <v>29.99</v>
      </c>
      <c r="AE188" t="s">
        <v>780</v>
      </c>
      <c r="AF188">
        <v>59</v>
      </c>
      <c r="AG188" t="s">
        <v>780</v>
      </c>
      <c r="AH188" s="30">
        <v>7.1400000000000005E-2</v>
      </c>
    </row>
    <row r="189" spans="1:34" x14ac:dyDescent="0.2">
      <c r="A189" t="s">
        <v>1893</v>
      </c>
      <c r="B189" t="s">
        <v>965</v>
      </c>
      <c r="C189" t="s">
        <v>2102</v>
      </c>
      <c r="D189" t="s">
        <v>784</v>
      </c>
      <c r="E189">
        <v>59</v>
      </c>
      <c r="F189">
        <v>1</v>
      </c>
      <c r="G189" s="30">
        <v>0</v>
      </c>
      <c r="H189" s="30">
        <v>0</v>
      </c>
      <c r="I189">
        <v>81</v>
      </c>
      <c r="J189">
        <v>1</v>
      </c>
      <c r="K189" s="30">
        <v>0</v>
      </c>
      <c r="L189" s="30">
        <v>0</v>
      </c>
      <c r="M189" s="30">
        <v>0.9143</v>
      </c>
      <c r="N189" s="30">
        <v>1</v>
      </c>
      <c r="O189">
        <v>1</v>
      </c>
      <c r="P189">
        <v>0</v>
      </c>
      <c r="Q189" s="30">
        <v>1.6899999999999998E-2</v>
      </c>
      <c r="R189" s="30">
        <v>0</v>
      </c>
      <c r="S189" s="31">
        <v>27.99</v>
      </c>
      <c r="T189" s="31">
        <v>0</v>
      </c>
      <c r="U189">
        <v>1</v>
      </c>
      <c r="V189">
        <v>0</v>
      </c>
      <c r="AA189" t="s">
        <v>784</v>
      </c>
      <c r="AB189">
        <v>1</v>
      </c>
      <c r="AC189" t="s">
        <v>784</v>
      </c>
      <c r="AD189" s="31">
        <v>27.99</v>
      </c>
      <c r="AE189" t="s">
        <v>784</v>
      </c>
      <c r="AF189">
        <v>59</v>
      </c>
      <c r="AG189" t="s">
        <v>784</v>
      </c>
      <c r="AH189" s="30">
        <v>0.9143</v>
      </c>
    </row>
    <row r="190" spans="1:34" x14ac:dyDescent="0.2">
      <c r="A190" t="s">
        <v>1893</v>
      </c>
      <c r="B190" t="s">
        <v>966</v>
      </c>
      <c r="C190" t="s">
        <v>2257</v>
      </c>
      <c r="D190" t="s">
        <v>787</v>
      </c>
      <c r="E190">
        <v>52</v>
      </c>
      <c r="F190">
        <v>1</v>
      </c>
      <c r="G190" s="30">
        <v>0</v>
      </c>
      <c r="H190" s="30">
        <v>0</v>
      </c>
      <c r="I190">
        <v>66</v>
      </c>
      <c r="J190">
        <v>2</v>
      </c>
      <c r="K190" s="30">
        <v>0</v>
      </c>
      <c r="L190" s="30">
        <v>1E-4</v>
      </c>
      <c r="M190" s="30">
        <v>6.25E-2</v>
      </c>
      <c r="N190" s="30">
        <v>0</v>
      </c>
      <c r="O190">
        <v>1</v>
      </c>
      <c r="P190">
        <v>0</v>
      </c>
      <c r="Q190" s="30">
        <v>1.9199999999999998E-2</v>
      </c>
      <c r="R190" s="30">
        <v>0</v>
      </c>
      <c r="S190" s="31">
        <v>27.99</v>
      </c>
      <c r="T190" s="31">
        <v>0</v>
      </c>
      <c r="U190">
        <v>1</v>
      </c>
      <c r="V190">
        <v>0</v>
      </c>
      <c r="AA190" t="s">
        <v>787</v>
      </c>
      <c r="AB190">
        <v>1</v>
      </c>
      <c r="AC190" t="s">
        <v>787</v>
      </c>
      <c r="AD190" s="31">
        <v>27.99</v>
      </c>
      <c r="AE190" t="s">
        <v>787</v>
      </c>
      <c r="AF190">
        <v>52</v>
      </c>
      <c r="AG190" t="s">
        <v>787</v>
      </c>
      <c r="AH190" s="30">
        <v>6.25E-2</v>
      </c>
    </row>
    <row r="191" spans="1:34" x14ac:dyDescent="0.2">
      <c r="A191" t="s">
        <v>1202</v>
      </c>
      <c r="B191" t="s">
        <v>1977</v>
      </c>
      <c r="C191" t="s">
        <v>1978</v>
      </c>
      <c r="D191" t="s">
        <v>796</v>
      </c>
      <c r="E191">
        <v>47</v>
      </c>
      <c r="F191">
        <v>2</v>
      </c>
      <c r="G191" s="30">
        <v>0</v>
      </c>
      <c r="H191" s="30">
        <v>1E-4</v>
      </c>
      <c r="I191">
        <v>64</v>
      </c>
      <c r="J191">
        <v>3</v>
      </c>
      <c r="K191" s="30">
        <v>0</v>
      </c>
      <c r="L191" s="30">
        <v>1E-4</v>
      </c>
      <c r="M191" s="30">
        <v>1</v>
      </c>
      <c r="N191" s="30">
        <v>0</v>
      </c>
      <c r="O191">
        <v>16</v>
      </c>
      <c r="P191">
        <v>0</v>
      </c>
      <c r="Q191" s="30">
        <v>0.34039999999999998</v>
      </c>
      <c r="R191" s="30">
        <v>0</v>
      </c>
      <c r="S191" s="31">
        <v>511.84</v>
      </c>
      <c r="T191" s="31">
        <v>0</v>
      </c>
      <c r="U191">
        <v>11</v>
      </c>
      <c r="V191">
        <v>0</v>
      </c>
      <c r="AA191" t="s">
        <v>796</v>
      </c>
      <c r="AB191">
        <v>16</v>
      </c>
      <c r="AC191" t="s">
        <v>796</v>
      </c>
      <c r="AD191" s="31">
        <v>511.84</v>
      </c>
      <c r="AE191" t="s">
        <v>796</v>
      </c>
      <c r="AF191">
        <v>47</v>
      </c>
      <c r="AG191" t="s">
        <v>796</v>
      </c>
      <c r="AH191" s="30">
        <v>1</v>
      </c>
    </row>
    <row r="192" spans="1:34" x14ac:dyDescent="0.2">
      <c r="A192" t="s">
        <v>1202</v>
      </c>
      <c r="B192" t="s">
        <v>1885</v>
      </c>
      <c r="C192" t="s">
        <v>1886</v>
      </c>
      <c r="D192" t="s">
        <v>798</v>
      </c>
      <c r="E192">
        <v>44</v>
      </c>
      <c r="F192">
        <v>1</v>
      </c>
      <c r="G192" s="30">
        <v>0</v>
      </c>
      <c r="H192" s="30">
        <v>0</v>
      </c>
      <c r="I192">
        <v>61</v>
      </c>
      <c r="J192">
        <v>1</v>
      </c>
      <c r="K192" s="30">
        <v>0</v>
      </c>
      <c r="L192" s="30">
        <v>0</v>
      </c>
      <c r="M192" s="30">
        <v>0.9</v>
      </c>
      <c r="N192" s="30">
        <v>0</v>
      </c>
      <c r="O192">
        <v>12</v>
      </c>
      <c r="P192">
        <v>0</v>
      </c>
      <c r="Q192" s="30">
        <v>0.2727</v>
      </c>
      <c r="R192" s="30">
        <v>0</v>
      </c>
      <c r="S192" s="31">
        <v>383.88</v>
      </c>
      <c r="T192" s="31">
        <v>0</v>
      </c>
      <c r="U192">
        <v>8</v>
      </c>
      <c r="V192">
        <v>0</v>
      </c>
      <c r="AA192" t="s">
        <v>798</v>
      </c>
      <c r="AB192">
        <v>12</v>
      </c>
      <c r="AC192" t="s">
        <v>798</v>
      </c>
      <c r="AD192" s="31">
        <v>383.88</v>
      </c>
      <c r="AE192" t="s">
        <v>798</v>
      </c>
      <c r="AF192">
        <v>44</v>
      </c>
      <c r="AG192" t="s">
        <v>798</v>
      </c>
      <c r="AH192" s="30">
        <v>0.9</v>
      </c>
    </row>
    <row r="193" spans="1:34" x14ac:dyDescent="0.2">
      <c r="A193" t="s">
        <v>1202</v>
      </c>
      <c r="B193" t="s">
        <v>968</v>
      </c>
      <c r="C193" t="s">
        <v>1679</v>
      </c>
      <c r="D193" t="s">
        <v>802</v>
      </c>
      <c r="E193">
        <v>58</v>
      </c>
      <c r="F193">
        <v>1</v>
      </c>
      <c r="G193" s="30">
        <v>0</v>
      </c>
      <c r="H193" s="30">
        <v>0</v>
      </c>
      <c r="I193">
        <v>81</v>
      </c>
      <c r="J193">
        <v>1</v>
      </c>
      <c r="K193" s="30">
        <v>0</v>
      </c>
      <c r="L193" s="30">
        <v>0</v>
      </c>
      <c r="M193" s="30">
        <v>0.40539999999999998</v>
      </c>
      <c r="N193" s="30">
        <v>0</v>
      </c>
      <c r="O193">
        <v>5</v>
      </c>
      <c r="P193">
        <v>0</v>
      </c>
      <c r="Q193" s="30">
        <v>8.6199999999999999E-2</v>
      </c>
      <c r="R193" s="30">
        <v>0</v>
      </c>
      <c r="S193" s="31">
        <v>159.94999999999999</v>
      </c>
      <c r="T193" s="31">
        <v>0</v>
      </c>
      <c r="U193">
        <v>4</v>
      </c>
      <c r="V193">
        <v>0</v>
      </c>
      <c r="AA193" t="s">
        <v>802</v>
      </c>
      <c r="AB193">
        <v>5</v>
      </c>
      <c r="AC193" t="s">
        <v>802</v>
      </c>
      <c r="AD193" s="31">
        <v>159.94999999999999</v>
      </c>
      <c r="AE193" t="s">
        <v>802</v>
      </c>
      <c r="AF193">
        <v>58</v>
      </c>
      <c r="AG193" t="s">
        <v>802</v>
      </c>
      <c r="AH193" s="30">
        <v>0.40539999999999998</v>
      </c>
    </row>
    <row r="194" spans="1:34" x14ac:dyDescent="0.2">
      <c r="A194" t="s">
        <v>1202</v>
      </c>
      <c r="B194" t="s">
        <v>1981</v>
      </c>
      <c r="C194" t="s">
        <v>1982</v>
      </c>
      <c r="D194" t="s">
        <v>804</v>
      </c>
      <c r="E194">
        <v>34</v>
      </c>
      <c r="F194">
        <v>0</v>
      </c>
      <c r="G194" s="30">
        <v>0</v>
      </c>
      <c r="H194" s="30">
        <v>0</v>
      </c>
      <c r="I194">
        <v>43</v>
      </c>
      <c r="J194">
        <v>0</v>
      </c>
      <c r="K194" s="30">
        <v>0</v>
      </c>
      <c r="L194" s="30">
        <v>0</v>
      </c>
      <c r="M194" s="30">
        <v>1</v>
      </c>
      <c r="N194" s="30">
        <v>0</v>
      </c>
      <c r="O194">
        <v>8</v>
      </c>
      <c r="P194">
        <v>0</v>
      </c>
      <c r="Q194" s="30">
        <v>0.23530000000000001</v>
      </c>
      <c r="R194" s="30">
        <v>0</v>
      </c>
      <c r="S194" s="31">
        <v>255.92</v>
      </c>
      <c r="T194" s="31">
        <v>0</v>
      </c>
      <c r="U194">
        <v>7</v>
      </c>
      <c r="V194">
        <v>0</v>
      </c>
      <c r="AA194" t="s">
        <v>804</v>
      </c>
      <c r="AB194">
        <v>8</v>
      </c>
      <c r="AC194" t="s">
        <v>804</v>
      </c>
      <c r="AD194" s="31">
        <v>255.92</v>
      </c>
      <c r="AE194" t="s">
        <v>804</v>
      </c>
      <c r="AF194">
        <v>34</v>
      </c>
      <c r="AG194" t="s">
        <v>804</v>
      </c>
      <c r="AH194" s="30">
        <v>1</v>
      </c>
    </row>
    <row r="195" spans="1:34" x14ac:dyDescent="0.2">
      <c r="A195" t="s">
        <v>1680</v>
      </c>
      <c r="B195" t="s">
        <v>2120</v>
      </c>
      <c r="C195" t="s">
        <v>2121</v>
      </c>
      <c r="D195" t="s">
        <v>806</v>
      </c>
      <c r="E195">
        <v>38</v>
      </c>
      <c r="F195">
        <v>3</v>
      </c>
      <c r="G195" s="30">
        <v>0</v>
      </c>
      <c r="H195" s="30">
        <v>1E-4</v>
      </c>
      <c r="I195">
        <v>64</v>
      </c>
      <c r="J195">
        <v>6</v>
      </c>
      <c r="K195" s="30">
        <v>0</v>
      </c>
      <c r="L195" s="30">
        <v>2.0000000000000001E-4</v>
      </c>
      <c r="M195" s="30">
        <v>1</v>
      </c>
      <c r="N195" s="30">
        <v>1</v>
      </c>
      <c r="O195">
        <v>5</v>
      </c>
      <c r="P195">
        <v>0</v>
      </c>
      <c r="Q195" s="30">
        <v>0.13159999999999999</v>
      </c>
      <c r="R195" s="30">
        <v>0</v>
      </c>
      <c r="S195" s="31">
        <v>149.94999999999999</v>
      </c>
      <c r="T195" s="31">
        <v>0</v>
      </c>
      <c r="U195">
        <v>4</v>
      </c>
      <c r="V195">
        <v>0</v>
      </c>
      <c r="AA195" t="s">
        <v>806</v>
      </c>
      <c r="AB195">
        <v>5</v>
      </c>
      <c r="AC195" t="s">
        <v>806</v>
      </c>
      <c r="AD195" s="31">
        <v>149.94999999999999</v>
      </c>
      <c r="AE195" t="s">
        <v>806</v>
      </c>
      <c r="AF195">
        <v>38</v>
      </c>
      <c r="AG195" t="s">
        <v>806</v>
      </c>
      <c r="AH195" s="30">
        <v>1</v>
      </c>
    </row>
    <row r="196" spans="1:34" x14ac:dyDescent="0.2">
      <c r="A196" t="s">
        <v>1680</v>
      </c>
      <c r="B196" t="s">
        <v>1183</v>
      </c>
      <c r="C196" t="s">
        <v>1896</v>
      </c>
      <c r="D196" t="s">
        <v>811</v>
      </c>
      <c r="E196">
        <v>63</v>
      </c>
      <c r="F196">
        <v>5</v>
      </c>
      <c r="G196" s="30">
        <v>0</v>
      </c>
      <c r="H196" s="30">
        <v>2.0000000000000001E-4</v>
      </c>
      <c r="I196">
        <v>81</v>
      </c>
      <c r="J196">
        <v>7</v>
      </c>
      <c r="K196" s="30">
        <v>0</v>
      </c>
      <c r="L196" s="30">
        <v>2.0000000000000001E-4</v>
      </c>
      <c r="M196" s="30">
        <v>0.47499999999999998</v>
      </c>
      <c r="N196" s="30">
        <v>0.25</v>
      </c>
      <c r="O196">
        <v>3</v>
      </c>
      <c r="P196">
        <v>0</v>
      </c>
      <c r="Q196" s="30">
        <v>4.7600000000000003E-2</v>
      </c>
      <c r="R196" s="30">
        <v>0</v>
      </c>
      <c r="S196" s="31">
        <v>89.97</v>
      </c>
      <c r="T196" s="31">
        <v>0</v>
      </c>
      <c r="U196">
        <v>3</v>
      </c>
      <c r="V196">
        <v>0</v>
      </c>
      <c r="AA196" t="s">
        <v>811</v>
      </c>
      <c r="AB196">
        <v>3</v>
      </c>
      <c r="AC196" t="s">
        <v>811</v>
      </c>
      <c r="AD196" s="31">
        <v>89.97</v>
      </c>
      <c r="AE196" t="s">
        <v>811</v>
      </c>
      <c r="AF196">
        <v>63</v>
      </c>
      <c r="AG196" t="s">
        <v>811</v>
      </c>
      <c r="AH196" s="30">
        <v>0.47499999999999998</v>
      </c>
    </row>
    <row r="197" spans="1:34" x14ac:dyDescent="0.2">
      <c r="A197" t="s">
        <v>1680</v>
      </c>
      <c r="B197" t="s">
        <v>969</v>
      </c>
      <c r="C197" t="s">
        <v>2073</v>
      </c>
      <c r="D197" t="s">
        <v>813</v>
      </c>
      <c r="E197">
        <v>22</v>
      </c>
      <c r="F197">
        <v>1</v>
      </c>
      <c r="G197" s="30">
        <v>0</v>
      </c>
      <c r="H197" s="30">
        <v>0</v>
      </c>
      <c r="I197">
        <v>30</v>
      </c>
      <c r="J197">
        <v>1</v>
      </c>
      <c r="K197" s="30">
        <v>0</v>
      </c>
      <c r="L197" s="30">
        <v>0</v>
      </c>
      <c r="M197" s="30">
        <v>1</v>
      </c>
      <c r="N197" s="30">
        <v>1</v>
      </c>
      <c r="O197">
        <v>2</v>
      </c>
      <c r="P197">
        <v>0</v>
      </c>
      <c r="Q197" s="30">
        <v>9.0899999999999995E-2</v>
      </c>
      <c r="R197" s="30">
        <v>0</v>
      </c>
      <c r="S197" s="31">
        <v>59.98</v>
      </c>
      <c r="T197" s="31">
        <v>0</v>
      </c>
      <c r="U197">
        <v>2</v>
      </c>
      <c r="V197">
        <v>0</v>
      </c>
      <c r="AA197" t="s">
        <v>813</v>
      </c>
      <c r="AB197">
        <v>2</v>
      </c>
      <c r="AC197" t="s">
        <v>813</v>
      </c>
      <c r="AD197" s="31">
        <v>59.98</v>
      </c>
      <c r="AE197" t="s">
        <v>813</v>
      </c>
      <c r="AF197">
        <v>22</v>
      </c>
      <c r="AG197" t="s">
        <v>813</v>
      </c>
      <c r="AH197" s="30">
        <v>1</v>
      </c>
    </row>
    <row r="198" spans="1:34" x14ac:dyDescent="0.2">
      <c r="A198" t="s">
        <v>1680</v>
      </c>
      <c r="B198" t="s">
        <v>970</v>
      </c>
      <c r="C198" t="s">
        <v>1952</v>
      </c>
      <c r="D198" t="s">
        <v>815</v>
      </c>
      <c r="E198">
        <v>6</v>
      </c>
      <c r="F198">
        <v>1</v>
      </c>
      <c r="G198" s="30">
        <v>0</v>
      </c>
      <c r="H198" s="30">
        <v>0</v>
      </c>
      <c r="I198">
        <v>8</v>
      </c>
      <c r="J198">
        <v>3</v>
      </c>
      <c r="K198" s="30">
        <v>0</v>
      </c>
      <c r="L198" s="30">
        <v>1E-4</v>
      </c>
      <c r="M198" s="30">
        <v>1</v>
      </c>
      <c r="N198" s="30">
        <v>0</v>
      </c>
      <c r="O198">
        <v>2</v>
      </c>
      <c r="P198">
        <v>0</v>
      </c>
      <c r="Q198" s="30">
        <v>0.33329999999999999</v>
      </c>
      <c r="R198" s="30">
        <v>0</v>
      </c>
      <c r="S198" s="31">
        <v>59.98</v>
      </c>
      <c r="T198" s="31">
        <v>0</v>
      </c>
      <c r="U198">
        <v>2</v>
      </c>
      <c r="V198">
        <v>0</v>
      </c>
      <c r="AA198" t="s">
        <v>815</v>
      </c>
      <c r="AB198">
        <v>2</v>
      </c>
      <c r="AC198" t="s">
        <v>815</v>
      </c>
      <c r="AD198" s="31">
        <v>59.98</v>
      </c>
      <c r="AE198" t="s">
        <v>815</v>
      </c>
      <c r="AF198">
        <v>6</v>
      </c>
      <c r="AG198" t="s">
        <v>815</v>
      </c>
      <c r="AH198" s="30">
        <v>1</v>
      </c>
    </row>
    <row r="199" spans="1:34" x14ac:dyDescent="0.2">
      <c r="A199" t="s">
        <v>1959</v>
      </c>
      <c r="B199" t="s">
        <v>1887</v>
      </c>
      <c r="C199" t="s">
        <v>1888</v>
      </c>
      <c r="D199" t="s">
        <v>819</v>
      </c>
      <c r="E199">
        <v>82</v>
      </c>
      <c r="F199">
        <v>3</v>
      </c>
      <c r="G199" s="30">
        <v>1E-4</v>
      </c>
      <c r="H199" s="30">
        <v>1E-4</v>
      </c>
      <c r="I199">
        <v>126</v>
      </c>
      <c r="J199">
        <v>4</v>
      </c>
      <c r="K199" s="30">
        <v>1E-4</v>
      </c>
      <c r="L199" s="30">
        <v>1E-4</v>
      </c>
      <c r="M199" s="30">
        <v>0.9083</v>
      </c>
      <c r="N199" s="30">
        <v>1</v>
      </c>
      <c r="O199">
        <v>23</v>
      </c>
      <c r="P199">
        <v>2</v>
      </c>
      <c r="Q199" s="30">
        <v>0.28050000000000003</v>
      </c>
      <c r="R199" s="30">
        <v>0.66669999999999996</v>
      </c>
      <c r="S199" s="31">
        <v>505.77</v>
      </c>
      <c r="T199" s="31">
        <v>43.98</v>
      </c>
      <c r="U199">
        <v>17</v>
      </c>
      <c r="V199">
        <v>1</v>
      </c>
      <c r="AA199" t="s">
        <v>819</v>
      </c>
      <c r="AB199">
        <v>23</v>
      </c>
      <c r="AC199" t="s">
        <v>819</v>
      </c>
      <c r="AD199" s="31">
        <v>505.77</v>
      </c>
      <c r="AE199" t="s">
        <v>819</v>
      </c>
      <c r="AF199">
        <v>82</v>
      </c>
      <c r="AG199" t="s">
        <v>819</v>
      </c>
      <c r="AH199" s="30">
        <v>0.9083</v>
      </c>
    </row>
    <row r="200" spans="1:34" x14ac:dyDescent="0.2">
      <c r="A200" t="s">
        <v>1681</v>
      </c>
      <c r="B200" t="s">
        <v>1203</v>
      </c>
      <c r="C200" t="s">
        <v>1682</v>
      </c>
      <c r="D200" t="s">
        <v>833</v>
      </c>
      <c r="E200">
        <v>22</v>
      </c>
      <c r="F200">
        <v>0</v>
      </c>
      <c r="G200" s="30">
        <v>0</v>
      </c>
      <c r="H200" s="30">
        <v>0</v>
      </c>
      <c r="I200">
        <v>29</v>
      </c>
      <c r="J200">
        <v>0</v>
      </c>
      <c r="K200" s="30">
        <v>0</v>
      </c>
      <c r="L200" s="30">
        <v>0</v>
      </c>
      <c r="M200" s="30">
        <v>0.13789999999999999</v>
      </c>
      <c r="N200" s="30">
        <v>0</v>
      </c>
      <c r="O200">
        <v>2</v>
      </c>
      <c r="P200">
        <v>0</v>
      </c>
      <c r="Q200" s="30">
        <v>9.0899999999999995E-2</v>
      </c>
      <c r="R200" s="30">
        <v>0</v>
      </c>
      <c r="S200" s="31">
        <v>49.98</v>
      </c>
      <c r="T200" s="31">
        <v>0</v>
      </c>
      <c r="U200">
        <v>1</v>
      </c>
      <c r="V200">
        <v>0</v>
      </c>
      <c r="AA200" t="s">
        <v>833</v>
      </c>
      <c r="AB200">
        <v>2</v>
      </c>
      <c r="AC200" t="s">
        <v>833</v>
      </c>
      <c r="AD200" s="31">
        <v>49.98</v>
      </c>
      <c r="AE200" t="s">
        <v>833</v>
      </c>
      <c r="AF200">
        <v>22</v>
      </c>
      <c r="AG200" t="s">
        <v>833</v>
      </c>
      <c r="AH200" s="30">
        <v>0.13789999999999999</v>
      </c>
    </row>
    <row r="201" spans="1:34" x14ac:dyDescent="0.2">
      <c r="A201" t="s">
        <v>1681</v>
      </c>
      <c r="B201" t="s">
        <v>2088</v>
      </c>
      <c r="C201" t="s">
        <v>2089</v>
      </c>
      <c r="D201" t="s">
        <v>838</v>
      </c>
      <c r="E201">
        <v>38</v>
      </c>
      <c r="F201">
        <v>0</v>
      </c>
      <c r="G201" s="30">
        <v>0</v>
      </c>
      <c r="H201" s="30">
        <v>0</v>
      </c>
      <c r="I201">
        <v>49</v>
      </c>
      <c r="J201">
        <v>0</v>
      </c>
      <c r="K201" s="30">
        <v>0</v>
      </c>
      <c r="L201" s="30">
        <v>0</v>
      </c>
      <c r="M201" s="30">
        <v>0.64439999999999997</v>
      </c>
      <c r="N201" s="30">
        <v>0</v>
      </c>
      <c r="O201">
        <v>5</v>
      </c>
      <c r="P201">
        <v>0</v>
      </c>
      <c r="Q201" s="30">
        <v>0.13159999999999999</v>
      </c>
      <c r="R201" s="30">
        <v>0</v>
      </c>
      <c r="S201" s="31">
        <v>124.95</v>
      </c>
      <c r="T201" s="31">
        <v>0</v>
      </c>
      <c r="U201">
        <v>3</v>
      </c>
      <c r="V201">
        <v>0</v>
      </c>
      <c r="AA201" t="s">
        <v>838</v>
      </c>
      <c r="AB201">
        <v>5</v>
      </c>
      <c r="AC201" t="s">
        <v>838</v>
      </c>
      <c r="AD201" s="31">
        <v>124.95</v>
      </c>
      <c r="AE201" t="s">
        <v>838</v>
      </c>
      <c r="AF201">
        <v>38</v>
      </c>
      <c r="AG201" t="s">
        <v>838</v>
      </c>
      <c r="AH201" s="30">
        <v>0.64439999999999997</v>
      </c>
    </row>
    <row r="202" spans="1:34" x14ac:dyDescent="0.2">
      <c r="A202" t="s">
        <v>1204</v>
      </c>
      <c r="B202" t="s">
        <v>971</v>
      </c>
      <c r="C202" t="s">
        <v>1889</v>
      </c>
      <c r="D202" t="s">
        <v>843</v>
      </c>
      <c r="E202">
        <v>159</v>
      </c>
      <c r="F202">
        <v>4</v>
      </c>
      <c r="G202" s="30">
        <v>1E-4</v>
      </c>
      <c r="H202" s="30">
        <v>2.0000000000000001E-4</v>
      </c>
      <c r="I202">
        <v>234</v>
      </c>
      <c r="J202">
        <v>5</v>
      </c>
      <c r="K202" s="30">
        <v>1E-4</v>
      </c>
      <c r="L202" s="30">
        <v>2.0000000000000001E-4</v>
      </c>
      <c r="M202" s="30">
        <v>0.314</v>
      </c>
      <c r="N202" s="30">
        <v>0</v>
      </c>
      <c r="O202">
        <v>7</v>
      </c>
      <c r="P202">
        <v>0</v>
      </c>
      <c r="Q202" s="30">
        <v>4.3999999999999997E-2</v>
      </c>
      <c r="R202" s="30">
        <v>0</v>
      </c>
      <c r="S202" s="31">
        <v>139.93</v>
      </c>
      <c r="T202" s="31">
        <v>0</v>
      </c>
      <c r="U202">
        <v>6</v>
      </c>
      <c r="V202">
        <v>0</v>
      </c>
      <c r="AA202" t="s">
        <v>843</v>
      </c>
      <c r="AB202">
        <v>7</v>
      </c>
      <c r="AC202" t="s">
        <v>843</v>
      </c>
      <c r="AD202" s="31">
        <v>139.93</v>
      </c>
      <c r="AE202" t="s">
        <v>843</v>
      </c>
      <c r="AF202">
        <v>159</v>
      </c>
      <c r="AG202" t="s">
        <v>843</v>
      </c>
      <c r="AH202" s="30">
        <v>0.314</v>
      </c>
    </row>
    <row r="203" spans="1:34" x14ac:dyDescent="0.2">
      <c r="A203" t="s">
        <v>1204</v>
      </c>
      <c r="B203" t="s">
        <v>1655</v>
      </c>
      <c r="C203" t="s">
        <v>1656</v>
      </c>
      <c r="D203" t="s">
        <v>845</v>
      </c>
      <c r="E203">
        <v>60</v>
      </c>
      <c r="F203">
        <v>1</v>
      </c>
      <c r="G203" s="30">
        <v>0</v>
      </c>
      <c r="H203" s="30">
        <v>0</v>
      </c>
      <c r="I203">
        <v>74</v>
      </c>
      <c r="J203">
        <v>1</v>
      </c>
      <c r="K203" s="30">
        <v>0</v>
      </c>
      <c r="L203" s="30">
        <v>0</v>
      </c>
      <c r="M203" s="30">
        <v>4.3499999999999997E-2</v>
      </c>
      <c r="N203" s="30">
        <v>0</v>
      </c>
      <c r="O203">
        <v>1</v>
      </c>
      <c r="P203">
        <v>0</v>
      </c>
      <c r="Q203" s="30">
        <v>1.67E-2</v>
      </c>
      <c r="R203" s="30">
        <v>0</v>
      </c>
      <c r="S203" s="31">
        <v>19.989999999999998</v>
      </c>
      <c r="T203" s="31">
        <v>0</v>
      </c>
      <c r="U203">
        <v>1</v>
      </c>
      <c r="V203">
        <v>0</v>
      </c>
      <c r="AA203" t="s">
        <v>845</v>
      </c>
      <c r="AB203">
        <v>1</v>
      </c>
      <c r="AC203" t="s">
        <v>845</v>
      </c>
      <c r="AD203" s="31">
        <v>19.989999999999998</v>
      </c>
      <c r="AE203" t="s">
        <v>845</v>
      </c>
      <c r="AF203">
        <v>60</v>
      </c>
      <c r="AG203" t="s">
        <v>845</v>
      </c>
      <c r="AH203" s="30">
        <v>4.3499999999999997E-2</v>
      </c>
    </row>
    <row r="204" spans="1:34" x14ac:dyDescent="0.2">
      <c r="A204" t="s">
        <v>1204</v>
      </c>
      <c r="B204" t="s">
        <v>2258</v>
      </c>
      <c r="C204" t="s">
        <v>2259</v>
      </c>
      <c r="D204" t="s">
        <v>849</v>
      </c>
      <c r="E204">
        <v>182</v>
      </c>
      <c r="F204">
        <v>3</v>
      </c>
      <c r="G204" s="30">
        <v>1E-4</v>
      </c>
      <c r="H204" s="30">
        <v>1E-4</v>
      </c>
      <c r="I204">
        <v>268</v>
      </c>
      <c r="J204">
        <v>3</v>
      </c>
      <c r="K204" s="30">
        <v>1E-4</v>
      </c>
      <c r="L204" s="30">
        <v>1E-4</v>
      </c>
      <c r="M204" s="30">
        <v>0.45900000000000002</v>
      </c>
      <c r="N204" s="30">
        <v>0.5</v>
      </c>
      <c r="O204">
        <v>16</v>
      </c>
      <c r="P204">
        <v>0</v>
      </c>
      <c r="Q204" s="30">
        <v>8.7900000000000006E-2</v>
      </c>
      <c r="R204" s="30">
        <v>0</v>
      </c>
      <c r="S204" s="31">
        <v>319.83999999999997</v>
      </c>
      <c r="T204" s="31">
        <v>0</v>
      </c>
      <c r="U204">
        <v>15</v>
      </c>
      <c r="V204">
        <v>0</v>
      </c>
      <c r="AA204" t="s">
        <v>849</v>
      </c>
      <c r="AB204">
        <v>16</v>
      </c>
      <c r="AC204" t="s">
        <v>849</v>
      </c>
      <c r="AD204" s="31">
        <v>319.83999999999997</v>
      </c>
      <c r="AE204" t="s">
        <v>849</v>
      </c>
      <c r="AF204">
        <v>182</v>
      </c>
      <c r="AG204" t="s">
        <v>849</v>
      </c>
      <c r="AH204" s="30">
        <v>0.45900000000000002</v>
      </c>
    </row>
    <row r="205" spans="1:34" x14ac:dyDescent="0.2">
      <c r="A205" t="s">
        <v>1701</v>
      </c>
      <c r="B205" t="s">
        <v>2260</v>
      </c>
      <c r="C205" t="s">
        <v>2261</v>
      </c>
      <c r="D205" t="s">
        <v>854</v>
      </c>
      <c r="E205">
        <v>40</v>
      </c>
      <c r="F205">
        <v>0</v>
      </c>
      <c r="G205" s="30">
        <v>0</v>
      </c>
      <c r="H205" s="30">
        <v>0</v>
      </c>
      <c r="I205">
        <v>50</v>
      </c>
      <c r="J205">
        <v>0</v>
      </c>
      <c r="K205" s="30">
        <v>0</v>
      </c>
      <c r="L205" s="30">
        <v>0</v>
      </c>
      <c r="M205" s="30">
        <v>1</v>
      </c>
      <c r="N205" s="30">
        <v>0</v>
      </c>
      <c r="O205">
        <v>4</v>
      </c>
      <c r="P205">
        <v>0</v>
      </c>
      <c r="Q205" s="30">
        <v>0.1</v>
      </c>
      <c r="R205" s="30">
        <v>0</v>
      </c>
      <c r="S205" s="31">
        <v>72</v>
      </c>
      <c r="T205" s="31">
        <v>0</v>
      </c>
      <c r="U205">
        <v>4</v>
      </c>
      <c r="V205">
        <v>0</v>
      </c>
      <c r="AA205" t="s">
        <v>854</v>
      </c>
      <c r="AB205">
        <v>4</v>
      </c>
      <c r="AC205" t="s">
        <v>854</v>
      </c>
      <c r="AD205" s="31">
        <v>72</v>
      </c>
      <c r="AE205" t="s">
        <v>854</v>
      </c>
      <c r="AF205">
        <v>40</v>
      </c>
      <c r="AG205" t="s">
        <v>854</v>
      </c>
      <c r="AH205" s="30">
        <v>1</v>
      </c>
    </row>
    <row r="206" spans="1:34" x14ac:dyDescent="0.2">
      <c r="A206" t="s">
        <v>1701</v>
      </c>
      <c r="B206" t="s">
        <v>1944</v>
      </c>
      <c r="C206" t="s">
        <v>2023</v>
      </c>
      <c r="D206" t="s">
        <v>2024</v>
      </c>
      <c r="E206">
        <v>11</v>
      </c>
      <c r="F206">
        <v>0</v>
      </c>
      <c r="G206" s="30">
        <v>0</v>
      </c>
      <c r="H206" s="30">
        <v>0</v>
      </c>
      <c r="I206">
        <v>16</v>
      </c>
      <c r="J206">
        <v>0</v>
      </c>
      <c r="K206" s="30">
        <v>0</v>
      </c>
      <c r="L206" s="30">
        <v>0</v>
      </c>
      <c r="M206" s="30">
        <v>1</v>
      </c>
      <c r="N206" s="30">
        <v>0</v>
      </c>
      <c r="O206">
        <v>2</v>
      </c>
      <c r="P206">
        <v>0</v>
      </c>
      <c r="Q206" s="30">
        <v>0.18179999999999999</v>
      </c>
      <c r="R206" s="30">
        <v>0</v>
      </c>
      <c r="S206" s="31">
        <v>36</v>
      </c>
      <c r="T206" s="31">
        <v>0</v>
      </c>
      <c r="U206">
        <v>2</v>
      </c>
      <c r="V206">
        <v>0</v>
      </c>
      <c r="AA206" t="s">
        <v>2024</v>
      </c>
      <c r="AB206">
        <v>2</v>
      </c>
      <c r="AC206" t="s">
        <v>2024</v>
      </c>
      <c r="AD206" s="31">
        <v>36</v>
      </c>
      <c r="AE206" t="s">
        <v>2024</v>
      </c>
      <c r="AF206">
        <v>11</v>
      </c>
      <c r="AG206" t="s">
        <v>2024</v>
      </c>
      <c r="AH206" s="30">
        <v>1</v>
      </c>
    </row>
    <row r="207" spans="1:34" x14ac:dyDescent="0.2">
      <c r="A207" t="s">
        <v>2020</v>
      </c>
      <c r="B207" t="s">
        <v>2262</v>
      </c>
      <c r="C207" t="s">
        <v>2263</v>
      </c>
      <c r="D207" t="s">
        <v>857</v>
      </c>
      <c r="E207">
        <v>38</v>
      </c>
      <c r="F207">
        <v>1</v>
      </c>
      <c r="G207" s="30">
        <v>0</v>
      </c>
      <c r="H207" s="30">
        <v>0</v>
      </c>
      <c r="I207">
        <v>49</v>
      </c>
      <c r="J207">
        <v>1</v>
      </c>
      <c r="K207" s="30">
        <v>0</v>
      </c>
      <c r="L207" s="30">
        <v>0</v>
      </c>
      <c r="M207" s="30">
        <v>1</v>
      </c>
      <c r="N207" s="30">
        <v>0</v>
      </c>
      <c r="O207">
        <v>3</v>
      </c>
      <c r="P207">
        <v>0</v>
      </c>
      <c r="Q207" s="30">
        <v>7.8899999999999998E-2</v>
      </c>
      <c r="R207" s="30">
        <v>0</v>
      </c>
      <c r="S207" s="31">
        <v>54</v>
      </c>
      <c r="T207" s="31">
        <v>0</v>
      </c>
      <c r="U207">
        <v>3</v>
      </c>
      <c r="V207">
        <v>0</v>
      </c>
      <c r="AA207" t="s">
        <v>857</v>
      </c>
      <c r="AB207">
        <v>3</v>
      </c>
      <c r="AC207" t="s">
        <v>857</v>
      </c>
      <c r="AD207" s="31">
        <v>54</v>
      </c>
      <c r="AE207" t="s">
        <v>857</v>
      </c>
      <c r="AF207">
        <v>38</v>
      </c>
      <c r="AG207" t="s">
        <v>857</v>
      </c>
      <c r="AH207" s="30">
        <v>1</v>
      </c>
    </row>
    <row r="208" spans="1:34" x14ac:dyDescent="0.2">
      <c r="A208" t="s">
        <v>2020</v>
      </c>
      <c r="B208" t="s">
        <v>2021</v>
      </c>
      <c r="C208" t="s">
        <v>2022</v>
      </c>
      <c r="D208" t="s">
        <v>859</v>
      </c>
      <c r="E208">
        <v>38</v>
      </c>
      <c r="F208">
        <v>0</v>
      </c>
      <c r="G208" s="30">
        <v>0</v>
      </c>
      <c r="H208" s="30">
        <v>0</v>
      </c>
      <c r="I208">
        <v>48</v>
      </c>
      <c r="J208">
        <v>0</v>
      </c>
      <c r="K208" s="30">
        <v>0</v>
      </c>
      <c r="L208" s="30">
        <v>0</v>
      </c>
      <c r="M208" s="30">
        <v>1</v>
      </c>
      <c r="N208" s="30">
        <v>0</v>
      </c>
      <c r="O208">
        <v>8</v>
      </c>
      <c r="P208">
        <v>0</v>
      </c>
      <c r="Q208" s="30">
        <v>0.21049999999999999</v>
      </c>
      <c r="R208" s="30">
        <v>0</v>
      </c>
      <c r="S208" s="31">
        <v>144</v>
      </c>
      <c r="T208" s="31">
        <v>0</v>
      </c>
      <c r="U208">
        <v>7</v>
      </c>
      <c r="V208">
        <v>0</v>
      </c>
      <c r="AA208" t="s">
        <v>859</v>
      </c>
      <c r="AB208">
        <v>8</v>
      </c>
      <c r="AC208" t="s">
        <v>859</v>
      </c>
      <c r="AD208" s="31">
        <v>144</v>
      </c>
      <c r="AE208" t="s">
        <v>859</v>
      </c>
      <c r="AF208">
        <v>38</v>
      </c>
      <c r="AG208" t="s">
        <v>859</v>
      </c>
      <c r="AH208" s="30">
        <v>1</v>
      </c>
    </row>
    <row r="209" spans="1:34" x14ac:dyDescent="0.2">
      <c r="A209" t="s">
        <v>1918</v>
      </c>
      <c r="B209" t="s">
        <v>1185</v>
      </c>
      <c r="C209" t="s">
        <v>2015</v>
      </c>
      <c r="D209" t="s">
        <v>870</v>
      </c>
      <c r="E209">
        <v>578</v>
      </c>
      <c r="F209">
        <v>11</v>
      </c>
      <c r="G209" s="30">
        <v>4.0000000000000002E-4</v>
      </c>
      <c r="H209" s="30">
        <v>5.0000000000000001E-4</v>
      </c>
      <c r="I209">
        <v>808</v>
      </c>
      <c r="J209">
        <v>16</v>
      </c>
      <c r="K209" s="30">
        <v>4.0000000000000002E-4</v>
      </c>
      <c r="L209" s="30">
        <v>5.0000000000000001E-4</v>
      </c>
      <c r="M209" s="30">
        <v>0.48130000000000001</v>
      </c>
      <c r="N209" s="30">
        <v>0.16669999999999999</v>
      </c>
      <c r="O209">
        <v>74</v>
      </c>
      <c r="P209">
        <v>0</v>
      </c>
      <c r="Q209" s="30">
        <v>0.128</v>
      </c>
      <c r="R209" s="30">
        <v>0</v>
      </c>
      <c r="S209" s="31">
        <v>1479.26</v>
      </c>
      <c r="T209" s="31">
        <v>0</v>
      </c>
      <c r="U209">
        <v>55</v>
      </c>
      <c r="V209">
        <v>0</v>
      </c>
      <c r="AA209" t="s">
        <v>870</v>
      </c>
      <c r="AB209">
        <v>74</v>
      </c>
      <c r="AC209" t="s">
        <v>870</v>
      </c>
      <c r="AD209" s="31">
        <v>1479.26</v>
      </c>
      <c r="AE209" t="s">
        <v>870</v>
      </c>
      <c r="AF209">
        <v>578</v>
      </c>
      <c r="AG209" t="s">
        <v>870</v>
      </c>
      <c r="AH209" s="30">
        <v>0.48130000000000001</v>
      </c>
    </row>
    <row r="210" spans="1:34" x14ac:dyDescent="0.2">
      <c r="A210" t="s">
        <v>1918</v>
      </c>
      <c r="B210" t="s">
        <v>1976</v>
      </c>
      <c r="C210" t="s">
        <v>2016</v>
      </c>
      <c r="D210" t="s">
        <v>872</v>
      </c>
      <c r="E210">
        <v>186</v>
      </c>
      <c r="F210">
        <v>5</v>
      </c>
      <c r="G210" s="30">
        <v>1E-4</v>
      </c>
      <c r="H210" s="30">
        <v>2.0000000000000001E-4</v>
      </c>
      <c r="I210">
        <v>240</v>
      </c>
      <c r="J210">
        <v>9</v>
      </c>
      <c r="K210" s="30">
        <v>1E-4</v>
      </c>
      <c r="L210" s="30">
        <v>2.9999999999999997E-4</v>
      </c>
      <c r="M210" s="30">
        <v>9.8299999999999998E-2</v>
      </c>
      <c r="N210" s="30">
        <v>0</v>
      </c>
      <c r="O210">
        <v>10</v>
      </c>
      <c r="P210">
        <v>0</v>
      </c>
      <c r="Q210" s="30">
        <v>5.3800000000000001E-2</v>
      </c>
      <c r="R210" s="30">
        <v>0</v>
      </c>
      <c r="S210" s="31">
        <v>199.9</v>
      </c>
      <c r="T210" s="31">
        <v>0</v>
      </c>
      <c r="U210">
        <v>5</v>
      </c>
      <c r="V210">
        <v>0</v>
      </c>
      <c r="AA210" t="s">
        <v>872</v>
      </c>
      <c r="AB210">
        <v>10</v>
      </c>
      <c r="AC210" t="s">
        <v>872</v>
      </c>
      <c r="AD210" s="31">
        <v>199.9</v>
      </c>
      <c r="AE210" t="s">
        <v>872</v>
      </c>
      <c r="AF210">
        <v>186</v>
      </c>
      <c r="AG210" t="s">
        <v>872</v>
      </c>
      <c r="AH210" s="30">
        <v>9.8299999999999998E-2</v>
      </c>
    </row>
    <row r="211" spans="1:34" x14ac:dyDescent="0.2">
      <c r="A211" t="s">
        <v>1918</v>
      </c>
      <c r="B211" t="s">
        <v>1974</v>
      </c>
      <c r="C211" t="s">
        <v>1975</v>
      </c>
      <c r="D211" t="s">
        <v>876</v>
      </c>
      <c r="E211">
        <v>407</v>
      </c>
      <c r="F211">
        <v>8</v>
      </c>
      <c r="G211" s="30">
        <v>2.9999999999999997E-4</v>
      </c>
      <c r="H211" s="30">
        <v>2.9999999999999997E-4</v>
      </c>
      <c r="I211">
        <v>551</v>
      </c>
      <c r="J211">
        <v>9</v>
      </c>
      <c r="K211" s="30">
        <v>2.9999999999999997E-4</v>
      </c>
      <c r="L211" s="30">
        <v>2.9999999999999997E-4</v>
      </c>
      <c r="M211" s="30">
        <v>1.3100000000000001E-2</v>
      </c>
      <c r="N211" s="30">
        <v>0</v>
      </c>
      <c r="O211">
        <v>1</v>
      </c>
      <c r="P211">
        <v>0</v>
      </c>
      <c r="Q211" s="30">
        <v>2.5000000000000001E-3</v>
      </c>
      <c r="R211" s="30">
        <v>0</v>
      </c>
      <c r="S211" s="31">
        <v>19.989999999999998</v>
      </c>
      <c r="T211" s="31">
        <v>0</v>
      </c>
      <c r="U211">
        <v>1</v>
      </c>
      <c r="V211">
        <v>0</v>
      </c>
      <c r="AA211" t="s">
        <v>876</v>
      </c>
      <c r="AB211">
        <v>1</v>
      </c>
      <c r="AC211" t="s">
        <v>876</v>
      </c>
      <c r="AD211" s="31">
        <v>19.989999999999998</v>
      </c>
      <c r="AE211" t="s">
        <v>876</v>
      </c>
      <c r="AF211">
        <v>407</v>
      </c>
      <c r="AG211" t="s">
        <v>876</v>
      </c>
      <c r="AH211" s="30">
        <v>1.3100000000000001E-2</v>
      </c>
    </row>
    <row r="212" spans="1:34" x14ac:dyDescent="0.2">
      <c r="A212" t="s">
        <v>1918</v>
      </c>
      <c r="B212" t="s">
        <v>1657</v>
      </c>
      <c r="C212" t="s">
        <v>1658</v>
      </c>
      <c r="D212" t="s">
        <v>878</v>
      </c>
      <c r="E212">
        <v>258</v>
      </c>
      <c r="F212">
        <v>4</v>
      </c>
      <c r="G212" s="30">
        <v>2.0000000000000001E-4</v>
      </c>
      <c r="H212" s="30">
        <v>2.0000000000000001E-4</v>
      </c>
      <c r="I212">
        <v>383</v>
      </c>
      <c r="J212">
        <v>6</v>
      </c>
      <c r="K212" s="30">
        <v>2.0000000000000001E-4</v>
      </c>
      <c r="L212" s="30">
        <v>2.0000000000000001E-4</v>
      </c>
      <c r="M212" s="30">
        <v>3.4000000000000002E-2</v>
      </c>
      <c r="N212" s="30">
        <v>0</v>
      </c>
      <c r="O212">
        <v>1</v>
      </c>
      <c r="P212">
        <v>0</v>
      </c>
      <c r="Q212" s="30">
        <v>3.8999999999999998E-3</v>
      </c>
      <c r="R212" s="30">
        <v>0</v>
      </c>
      <c r="S212" s="31">
        <v>19.989999999999998</v>
      </c>
      <c r="T212" s="31">
        <v>0</v>
      </c>
      <c r="U212">
        <v>1</v>
      </c>
      <c r="V212">
        <v>0</v>
      </c>
      <c r="AA212" t="s">
        <v>878</v>
      </c>
      <c r="AB212">
        <v>1</v>
      </c>
      <c r="AC212" t="s">
        <v>878</v>
      </c>
      <c r="AD212" s="31">
        <v>19.989999999999998</v>
      </c>
      <c r="AE212" t="s">
        <v>878</v>
      </c>
      <c r="AF212">
        <v>258</v>
      </c>
      <c r="AG212" t="s">
        <v>878</v>
      </c>
      <c r="AH212" s="30">
        <v>3.4000000000000002E-2</v>
      </c>
    </row>
    <row r="213" spans="1:34" x14ac:dyDescent="0.2">
      <c r="A213" t="s">
        <v>1972</v>
      </c>
      <c r="B213" t="s">
        <v>1972</v>
      </c>
      <c r="C213" t="s">
        <v>1973</v>
      </c>
      <c r="D213" t="s">
        <v>880</v>
      </c>
      <c r="E213">
        <v>26</v>
      </c>
      <c r="F213">
        <v>0</v>
      </c>
      <c r="G213" s="30">
        <v>0</v>
      </c>
      <c r="H213" s="30">
        <v>0</v>
      </c>
      <c r="I213">
        <v>42</v>
      </c>
      <c r="J213">
        <v>0</v>
      </c>
      <c r="K213" s="30">
        <v>0</v>
      </c>
      <c r="L213" s="30">
        <v>0</v>
      </c>
      <c r="M213" s="30">
        <v>2.63E-2</v>
      </c>
      <c r="N213" s="30">
        <v>0</v>
      </c>
      <c r="O213">
        <v>1</v>
      </c>
      <c r="P213">
        <v>0</v>
      </c>
      <c r="Q213" s="30">
        <v>3.85E-2</v>
      </c>
      <c r="R213" s="30">
        <v>0</v>
      </c>
      <c r="S213" s="31">
        <v>19.989999999999998</v>
      </c>
      <c r="T213" s="31">
        <v>0</v>
      </c>
      <c r="U213">
        <v>1</v>
      </c>
      <c r="V213">
        <v>0</v>
      </c>
      <c r="AA213" t="s">
        <v>880</v>
      </c>
      <c r="AB213">
        <v>1</v>
      </c>
      <c r="AC213" t="s">
        <v>880</v>
      </c>
      <c r="AD213" s="31">
        <v>19.989999999999998</v>
      </c>
      <c r="AE213" t="s">
        <v>880</v>
      </c>
      <c r="AF213">
        <v>26</v>
      </c>
      <c r="AG213" t="s">
        <v>880</v>
      </c>
      <c r="AH213" s="30">
        <v>2.63E-2</v>
      </c>
    </row>
    <row r="214" spans="1:34" x14ac:dyDescent="0.2">
      <c r="A214" t="s">
        <v>1918</v>
      </c>
      <c r="B214" t="s">
        <v>1683</v>
      </c>
      <c r="C214" t="s">
        <v>1684</v>
      </c>
      <c r="D214" t="s">
        <v>885</v>
      </c>
      <c r="E214">
        <v>64</v>
      </c>
      <c r="F214">
        <v>0</v>
      </c>
      <c r="G214" s="30">
        <v>0</v>
      </c>
      <c r="H214" s="30">
        <v>0</v>
      </c>
      <c r="I214">
        <v>84</v>
      </c>
      <c r="J214">
        <v>0</v>
      </c>
      <c r="K214" s="30">
        <v>0</v>
      </c>
      <c r="L214" s="30">
        <v>0</v>
      </c>
      <c r="M214" s="30">
        <v>0</v>
      </c>
      <c r="N214" s="30">
        <v>0</v>
      </c>
      <c r="O214">
        <v>2</v>
      </c>
      <c r="P214">
        <v>0</v>
      </c>
      <c r="Q214" s="30">
        <v>3.1300000000000001E-2</v>
      </c>
      <c r="R214" s="30">
        <v>0</v>
      </c>
      <c r="S214" s="31">
        <v>39.979999999999997</v>
      </c>
      <c r="T214" s="31">
        <v>0</v>
      </c>
      <c r="U214">
        <v>1</v>
      </c>
      <c r="V214">
        <v>0</v>
      </c>
      <c r="AA214" t="s">
        <v>885</v>
      </c>
      <c r="AB214">
        <v>2</v>
      </c>
      <c r="AC214" t="s">
        <v>885</v>
      </c>
      <c r="AD214" s="31">
        <v>39.979999999999997</v>
      </c>
      <c r="AE214" t="s">
        <v>885</v>
      </c>
      <c r="AF214">
        <v>64</v>
      </c>
      <c r="AG214" t="s">
        <v>885</v>
      </c>
      <c r="AH214" s="30">
        <v>0</v>
      </c>
    </row>
    <row r="215" spans="1:34" x14ac:dyDescent="0.2">
      <c r="A215" t="s">
        <v>1857</v>
      </c>
      <c r="B215" t="s">
        <v>1898</v>
      </c>
      <c r="C215" t="s">
        <v>1899</v>
      </c>
      <c r="D215" t="s">
        <v>887</v>
      </c>
      <c r="E215">
        <v>109</v>
      </c>
      <c r="F215">
        <v>2</v>
      </c>
      <c r="G215" s="30">
        <v>1E-4</v>
      </c>
      <c r="H215" s="30">
        <v>1E-4</v>
      </c>
      <c r="I215">
        <v>161</v>
      </c>
      <c r="J215">
        <v>2</v>
      </c>
      <c r="K215" s="30">
        <v>1E-4</v>
      </c>
      <c r="L215" s="30">
        <v>1E-4</v>
      </c>
      <c r="M215" s="30">
        <v>1</v>
      </c>
      <c r="N215" s="30">
        <v>1</v>
      </c>
      <c r="O215">
        <v>4</v>
      </c>
      <c r="P215">
        <v>0</v>
      </c>
      <c r="Q215" s="30">
        <v>3.6700000000000003E-2</v>
      </c>
      <c r="R215" s="30">
        <v>0</v>
      </c>
      <c r="S215" s="31">
        <v>78</v>
      </c>
      <c r="T215" s="31">
        <v>0</v>
      </c>
      <c r="U215">
        <v>3</v>
      </c>
      <c r="V215">
        <v>0</v>
      </c>
      <c r="AA215" t="s">
        <v>887</v>
      </c>
      <c r="AB215">
        <v>4</v>
      </c>
      <c r="AC215" t="s">
        <v>887</v>
      </c>
      <c r="AD215" s="31">
        <v>78</v>
      </c>
      <c r="AE215" t="s">
        <v>887</v>
      </c>
      <c r="AF215">
        <v>109</v>
      </c>
      <c r="AG215" t="s">
        <v>887</v>
      </c>
      <c r="AH215" s="30">
        <v>1</v>
      </c>
    </row>
    <row r="216" spans="1:34" x14ac:dyDescent="0.2">
      <c r="A216" t="s">
        <v>1857</v>
      </c>
      <c r="B216" t="s">
        <v>2264</v>
      </c>
      <c r="C216" t="s">
        <v>2265</v>
      </c>
      <c r="D216" t="s">
        <v>892</v>
      </c>
      <c r="E216">
        <v>18</v>
      </c>
      <c r="F216">
        <v>0</v>
      </c>
      <c r="G216" s="30">
        <v>0</v>
      </c>
      <c r="H216" s="30">
        <v>0</v>
      </c>
      <c r="I216">
        <v>23</v>
      </c>
      <c r="J216">
        <v>0</v>
      </c>
      <c r="K216" s="30">
        <v>0</v>
      </c>
      <c r="L216" s="30">
        <v>0</v>
      </c>
      <c r="M216" s="30">
        <v>1</v>
      </c>
      <c r="N216" s="30">
        <v>0</v>
      </c>
      <c r="O216">
        <v>3</v>
      </c>
      <c r="P216">
        <v>0</v>
      </c>
      <c r="Q216" s="30">
        <v>0.16669999999999999</v>
      </c>
      <c r="R216" s="30">
        <v>0</v>
      </c>
      <c r="S216" s="31">
        <v>58.5</v>
      </c>
      <c r="T216" s="31">
        <v>0</v>
      </c>
      <c r="U216">
        <v>1</v>
      </c>
      <c r="V216">
        <v>0</v>
      </c>
      <c r="AA216" t="s">
        <v>892</v>
      </c>
      <c r="AB216">
        <v>3</v>
      </c>
      <c r="AC216" t="s">
        <v>892</v>
      </c>
      <c r="AD216" s="31">
        <v>58.5</v>
      </c>
      <c r="AE216" t="s">
        <v>892</v>
      </c>
      <c r="AF216">
        <v>18</v>
      </c>
      <c r="AG216" t="s">
        <v>892</v>
      </c>
      <c r="AH216" s="30">
        <v>1</v>
      </c>
    </row>
    <row r="217" spans="1:34" x14ac:dyDescent="0.2">
      <c r="A217" t="s">
        <v>1685</v>
      </c>
      <c r="B217" t="s">
        <v>2266</v>
      </c>
      <c r="C217" t="s">
        <v>2267</v>
      </c>
      <c r="D217" t="s">
        <v>894</v>
      </c>
      <c r="E217">
        <v>99</v>
      </c>
      <c r="F217">
        <v>1</v>
      </c>
      <c r="G217" s="30">
        <v>1E-4</v>
      </c>
      <c r="H217" s="30">
        <v>0</v>
      </c>
      <c r="I217">
        <v>129</v>
      </c>
      <c r="J217">
        <v>1</v>
      </c>
      <c r="K217" s="30">
        <v>1E-4</v>
      </c>
      <c r="L217" s="30">
        <v>0</v>
      </c>
      <c r="M217" s="30">
        <v>0.25</v>
      </c>
      <c r="N217" s="30">
        <v>0</v>
      </c>
      <c r="O217">
        <v>6</v>
      </c>
      <c r="P217">
        <v>0</v>
      </c>
      <c r="Q217" s="30">
        <v>6.0600000000000001E-2</v>
      </c>
      <c r="R217" s="30">
        <v>0</v>
      </c>
      <c r="S217" s="31">
        <v>119.94</v>
      </c>
      <c r="T217" s="31">
        <v>0</v>
      </c>
      <c r="U217">
        <v>4</v>
      </c>
      <c r="V217">
        <v>0</v>
      </c>
      <c r="AA217" t="s">
        <v>894</v>
      </c>
      <c r="AB217">
        <v>6</v>
      </c>
      <c r="AC217" t="s">
        <v>894</v>
      </c>
      <c r="AD217" s="31">
        <v>119.94</v>
      </c>
      <c r="AE217" t="s">
        <v>894</v>
      </c>
      <c r="AF217">
        <v>99</v>
      </c>
      <c r="AG217" t="s">
        <v>894</v>
      </c>
      <c r="AH217" s="30">
        <v>0.25</v>
      </c>
    </row>
    <row r="218" spans="1:34" x14ac:dyDescent="0.2">
      <c r="A218" t="s">
        <v>1685</v>
      </c>
      <c r="B218" t="s">
        <v>1864</v>
      </c>
      <c r="C218" t="s">
        <v>1865</v>
      </c>
      <c r="D218" t="s">
        <v>897</v>
      </c>
      <c r="E218">
        <v>126</v>
      </c>
      <c r="F218">
        <v>3</v>
      </c>
      <c r="G218" s="30">
        <v>1E-4</v>
      </c>
      <c r="H218" s="30">
        <v>1E-4</v>
      </c>
      <c r="I218">
        <v>172</v>
      </c>
      <c r="J218">
        <v>4</v>
      </c>
      <c r="K218" s="30">
        <v>1E-4</v>
      </c>
      <c r="L218" s="30">
        <v>1E-4</v>
      </c>
      <c r="M218" s="30">
        <v>0.26350000000000001</v>
      </c>
      <c r="N218" s="30">
        <v>0</v>
      </c>
      <c r="O218">
        <v>17</v>
      </c>
      <c r="P218">
        <v>0</v>
      </c>
      <c r="Q218" s="30">
        <v>0.13489999999999999</v>
      </c>
      <c r="R218" s="30">
        <v>0</v>
      </c>
      <c r="S218" s="31">
        <v>339.83</v>
      </c>
      <c r="T218" s="31">
        <v>0</v>
      </c>
      <c r="U218">
        <v>12</v>
      </c>
      <c r="V218">
        <v>0</v>
      </c>
      <c r="AA218" t="s">
        <v>897</v>
      </c>
      <c r="AB218">
        <v>17</v>
      </c>
      <c r="AC218" t="s">
        <v>897</v>
      </c>
      <c r="AD218" s="31">
        <v>339.83</v>
      </c>
      <c r="AE218" t="s">
        <v>897</v>
      </c>
      <c r="AF218">
        <v>126</v>
      </c>
      <c r="AG218" t="s">
        <v>897</v>
      </c>
      <c r="AH218" s="30">
        <v>0.26350000000000001</v>
      </c>
    </row>
    <row r="219" spans="1:34" x14ac:dyDescent="0.2">
      <c r="A219" t="s">
        <v>1685</v>
      </c>
      <c r="B219" t="s">
        <v>1915</v>
      </c>
      <c r="C219" t="s">
        <v>2209</v>
      </c>
      <c r="D219" t="s">
        <v>899</v>
      </c>
      <c r="E219">
        <v>74</v>
      </c>
      <c r="F219">
        <v>2</v>
      </c>
      <c r="G219" s="30">
        <v>0</v>
      </c>
      <c r="H219" s="30">
        <v>1E-4</v>
      </c>
      <c r="I219">
        <v>92</v>
      </c>
      <c r="J219">
        <v>4</v>
      </c>
      <c r="K219" s="30">
        <v>0</v>
      </c>
      <c r="L219" s="30">
        <v>1E-4</v>
      </c>
      <c r="M219" s="30">
        <v>0.625</v>
      </c>
      <c r="N219" s="30">
        <v>0</v>
      </c>
      <c r="O219">
        <v>6</v>
      </c>
      <c r="P219">
        <v>0</v>
      </c>
      <c r="Q219" s="30">
        <v>8.1100000000000005E-2</v>
      </c>
      <c r="R219" s="30">
        <v>0</v>
      </c>
      <c r="S219" s="31">
        <v>119.94</v>
      </c>
      <c r="T219" s="31">
        <v>0</v>
      </c>
      <c r="U219">
        <v>4</v>
      </c>
      <c r="V219">
        <v>0</v>
      </c>
      <c r="AA219" t="s">
        <v>899</v>
      </c>
      <c r="AB219">
        <v>6</v>
      </c>
      <c r="AC219" t="s">
        <v>899</v>
      </c>
      <c r="AD219" s="31">
        <v>119.94</v>
      </c>
      <c r="AE219" t="s">
        <v>899</v>
      </c>
      <c r="AF219">
        <v>74</v>
      </c>
      <c r="AG219" t="s">
        <v>899</v>
      </c>
      <c r="AH219" s="30">
        <v>0.625</v>
      </c>
    </row>
    <row r="220" spans="1:34" x14ac:dyDescent="0.2">
      <c r="A220" t="s">
        <v>1205</v>
      </c>
      <c r="B220" t="s">
        <v>1712</v>
      </c>
      <c r="C220" t="s">
        <v>1713</v>
      </c>
      <c r="D220" t="s">
        <v>904</v>
      </c>
      <c r="E220">
        <v>55</v>
      </c>
      <c r="F220">
        <v>0</v>
      </c>
      <c r="G220" s="30">
        <v>0</v>
      </c>
      <c r="H220" s="30">
        <v>0</v>
      </c>
      <c r="I220">
        <v>72</v>
      </c>
      <c r="J220">
        <v>0</v>
      </c>
      <c r="K220" s="30">
        <v>0</v>
      </c>
      <c r="L220" s="30">
        <v>0</v>
      </c>
      <c r="M220" s="30">
        <v>0.2321</v>
      </c>
      <c r="N220" s="30">
        <v>0</v>
      </c>
      <c r="O220">
        <v>1</v>
      </c>
      <c r="P220">
        <v>0</v>
      </c>
      <c r="Q220" s="30">
        <v>1.8200000000000001E-2</v>
      </c>
      <c r="R220" s="30">
        <v>0</v>
      </c>
      <c r="S220" s="31">
        <v>21.99</v>
      </c>
      <c r="T220" s="31">
        <v>0</v>
      </c>
      <c r="U220">
        <v>1</v>
      </c>
      <c r="V220">
        <v>0</v>
      </c>
      <c r="AA220" t="s">
        <v>904</v>
      </c>
      <c r="AB220">
        <v>1</v>
      </c>
      <c r="AC220" t="s">
        <v>904</v>
      </c>
      <c r="AD220" s="31">
        <v>21.99</v>
      </c>
      <c r="AE220" t="s">
        <v>904</v>
      </c>
      <c r="AF220">
        <v>55</v>
      </c>
      <c r="AG220" t="s">
        <v>904</v>
      </c>
      <c r="AH220" s="30">
        <v>0.2321</v>
      </c>
    </row>
    <row r="221" spans="1:34" x14ac:dyDescent="0.2">
      <c r="A221" t="s">
        <v>1205</v>
      </c>
      <c r="B221" t="s">
        <v>2074</v>
      </c>
      <c r="C221" t="s">
        <v>2075</v>
      </c>
      <c r="D221" t="s">
        <v>906</v>
      </c>
      <c r="E221">
        <v>24</v>
      </c>
      <c r="F221">
        <v>0</v>
      </c>
      <c r="G221" s="30">
        <v>0</v>
      </c>
      <c r="H221" s="30">
        <v>0</v>
      </c>
      <c r="I221">
        <v>26</v>
      </c>
      <c r="J221">
        <v>0</v>
      </c>
      <c r="K221" s="30">
        <v>0</v>
      </c>
      <c r="L221" s="30">
        <v>0</v>
      </c>
      <c r="M221" s="30">
        <v>1</v>
      </c>
      <c r="N221" s="30">
        <v>0</v>
      </c>
      <c r="O221">
        <v>3</v>
      </c>
      <c r="P221">
        <v>0</v>
      </c>
      <c r="Q221" s="30">
        <v>0.125</v>
      </c>
      <c r="R221" s="30">
        <v>0</v>
      </c>
      <c r="S221" s="31">
        <v>65.97</v>
      </c>
      <c r="T221" s="31">
        <v>0</v>
      </c>
      <c r="U221">
        <v>3</v>
      </c>
      <c r="V221">
        <v>0</v>
      </c>
      <c r="AA221" t="s">
        <v>906</v>
      </c>
      <c r="AB221">
        <v>3</v>
      </c>
      <c r="AC221" t="s">
        <v>906</v>
      </c>
      <c r="AD221" s="31">
        <v>65.97</v>
      </c>
      <c r="AE221" t="s">
        <v>906</v>
      </c>
      <c r="AF221">
        <v>24</v>
      </c>
      <c r="AG221" t="s">
        <v>906</v>
      </c>
      <c r="AH221" s="30">
        <v>1</v>
      </c>
    </row>
    <row r="222" spans="1:34" x14ac:dyDescent="0.2">
      <c r="A222" t="s">
        <v>1919</v>
      </c>
      <c r="B222" t="s">
        <v>1187</v>
      </c>
      <c r="C222" t="s">
        <v>1998</v>
      </c>
      <c r="D222" t="s">
        <v>919</v>
      </c>
      <c r="E222">
        <v>155</v>
      </c>
      <c r="F222">
        <v>7</v>
      </c>
      <c r="G222" s="30">
        <v>1E-4</v>
      </c>
      <c r="H222" s="30">
        <v>2.9999999999999997E-4</v>
      </c>
      <c r="I222">
        <v>201</v>
      </c>
      <c r="J222">
        <v>10</v>
      </c>
      <c r="K222" s="30">
        <v>1E-4</v>
      </c>
      <c r="L222" s="30">
        <v>2.9999999999999997E-4</v>
      </c>
      <c r="M222" s="30">
        <v>6.9900000000000004E-2</v>
      </c>
      <c r="N222" s="30">
        <v>0</v>
      </c>
      <c r="O222">
        <v>3</v>
      </c>
      <c r="P222">
        <v>0</v>
      </c>
      <c r="Q222" s="30">
        <v>1.9400000000000001E-2</v>
      </c>
      <c r="R222" s="30">
        <v>0</v>
      </c>
      <c r="S222" s="31">
        <v>54</v>
      </c>
      <c r="T222" s="31">
        <v>0</v>
      </c>
      <c r="U222">
        <v>3</v>
      </c>
      <c r="V222">
        <v>0</v>
      </c>
      <c r="AA222" t="s">
        <v>919</v>
      </c>
      <c r="AB222">
        <v>3</v>
      </c>
      <c r="AC222" t="s">
        <v>919</v>
      </c>
      <c r="AD222" s="31">
        <v>54</v>
      </c>
      <c r="AE222" t="s">
        <v>919</v>
      </c>
      <c r="AF222">
        <v>155</v>
      </c>
      <c r="AG222" t="s">
        <v>919</v>
      </c>
      <c r="AH222" s="30">
        <v>6.9900000000000004E-2</v>
      </c>
    </row>
    <row r="223" spans="1:34" x14ac:dyDescent="0.2">
      <c r="A223" t="s">
        <v>2078</v>
      </c>
      <c r="B223" t="s">
        <v>1686</v>
      </c>
      <c r="C223" t="s">
        <v>2079</v>
      </c>
      <c r="D223" t="s">
        <v>925</v>
      </c>
      <c r="E223">
        <v>204</v>
      </c>
      <c r="F223">
        <v>2</v>
      </c>
      <c r="G223" s="30">
        <v>1E-4</v>
      </c>
      <c r="H223" s="30">
        <v>1E-4</v>
      </c>
      <c r="I223">
        <v>325</v>
      </c>
      <c r="J223">
        <v>2</v>
      </c>
      <c r="K223" s="30">
        <v>2.0000000000000001E-4</v>
      </c>
      <c r="L223" s="30">
        <v>1E-4</v>
      </c>
      <c r="M223" s="30">
        <v>0.44900000000000001</v>
      </c>
      <c r="N223" s="30">
        <v>0.5</v>
      </c>
      <c r="O223">
        <v>23</v>
      </c>
      <c r="P223">
        <v>0</v>
      </c>
      <c r="Q223" s="30">
        <v>0.11269999999999999</v>
      </c>
      <c r="R223" s="30">
        <v>0</v>
      </c>
      <c r="S223" s="31">
        <v>804.77</v>
      </c>
      <c r="T223" s="31">
        <v>0</v>
      </c>
      <c r="U223">
        <v>18</v>
      </c>
      <c r="V223">
        <v>0</v>
      </c>
      <c r="AA223" t="s">
        <v>925</v>
      </c>
      <c r="AB223">
        <v>23</v>
      </c>
      <c r="AC223" t="s">
        <v>925</v>
      </c>
      <c r="AD223" s="31">
        <v>804.77</v>
      </c>
      <c r="AE223" t="s">
        <v>925</v>
      </c>
      <c r="AF223">
        <v>204</v>
      </c>
      <c r="AG223" t="s">
        <v>925</v>
      </c>
      <c r="AH223" s="30">
        <v>0.44900000000000001</v>
      </c>
    </row>
    <row r="224" spans="1:34" x14ac:dyDescent="0.2">
      <c r="A224" t="s">
        <v>1965</v>
      </c>
      <c r="B224" t="s">
        <v>1206</v>
      </c>
      <c r="C224" t="s">
        <v>2046</v>
      </c>
      <c r="D224" t="s">
        <v>929</v>
      </c>
      <c r="E224">
        <v>43</v>
      </c>
      <c r="F224">
        <v>1</v>
      </c>
      <c r="G224" s="30">
        <v>0</v>
      </c>
      <c r="H224" s="30">
        <v>0</v>
      </c>
      <c r="I224">
        <v>60</v>
      </c>
      <c r="J224">
        <v>1</v>
      </c>
      <c r="K224" s="30">
        <v>0</v>
      </c>
      <c r="L224" s="30">
        <v>0</v>
      </c>
      <c r="M224" s="30">
        <v>0.2407</v>
      </c>
      <c r="N224" s="30">
        <v>0</v>
      </c>
      <c r="O224">
        <v>1</v>
      </c>
      <c r="P224">
        <v>0</v>
      </c>
      <c r="Q224" s="30">
        <v>2.3300000000000001E-2</v>
      </c>
      <c r="R224" s="30">
        <v>0</v>
      </c>
      <c r="S224" s="31">
        <v>34.99</v>
      </c>
      <c r="T224" s="31">
        <v>0</v>
      </c>
      <c r="U224">
        <v>1</v>
      </c>
      <c r="V224">
        <v>0</v>
      </c>
      <c r="AA224" t="s">
        <v>929</v>
      </c>
      <c r="AB224">
        <v>1</v>
      </c>
      <c r="AC224" t="s">
        <v>929</v>
      </c>
      <c r="AD224" s="31">
        <v>34.99</v>
      </c>
      <c r="AE224" t="s">
        <v>929</v>
      </c>
      <c r="AF224">
        <v>43</v>
      </c>
      <c r="AG224" t="s">
        <v>929</v>
      </c>
      <c r="AH224" s="30">
        <v>0.2407</v>
      </c>
    </row>
    <row r="225" spans="1:34" x14ac:dyDescent="0.2">
      <c r="A225" t="s">
        <v>2268</v>
      </c>
      <c r="B225" t="s">
        <v>2269</v>
      </c>
      <c r="C225" t="s">
        <v>2270</v>
      </c>
      <c r="D225" t="s">
        <v>934</v>
      </c>
      <c r="E225">
        <v>144</v>
      </c>
      <c r="F225">
        <v>4</v>
      </c>
      <c r="G225" s="30">
        <v>1E-4</v>
      </c>
      <c r="H225" s="30">
        <v>2.0000000000000001E-4</v>
      </c>
      <c r="I225">
        <v>231</v>
      </c>
      <c r="J225">
        <v>6</v>
      </c>
      <c r="K225" s="30">
        <v>1E-4</v>
      </c>
      <c r="L225" s="30">
        <v>2.0000000000000001E-4</v>
      </c>
      <c r="M225" s="30">
        <v>0.94230000000000003</v>
      </c>
      <c r="N225" s="30">
        <v>1</v>
      </c>
      <c r="O225">
        <v>55</v>
      </c>
      <c r="P225">
        <v>0</v>
      </c>
      <c r="Q225" s="30">
        <v>0.38190000000000002</v>
      </c>
      <c r="R225" s="30">
        <v>0</v>
      </c>
      <c r="S225" s="31">
        <v>2159.46</v>
      </c>
      <c r="T225" s="31">
        <v>0</v>
      </c>
      <c r="U225">
        <v>49</v>
      </c>
      <c r="V225">
        <v>0</v>
      </c>
      <c r="AA225" t="s">
        <v>934</v>
      </c>
      <c r="AB225">
        <v>55</v>
      </c>
      <c r="AC225" t="s">
        <v>934</v>
      </c>
      <c r="AD225" s="31">
        <v>2159.46</v>
      </c>
      <c r="AE225" t="s">
        <v>934</v>
      </c>
      <c r="AF225">
        <v>144</v>
      </c>
      <c r="AG225" t="s">
        <v>934</v>
      </c>
      <c r="AH225" s="30">
        <v>0.94230000000000003</v>
      </c>
    </row>
    <row r="226" spans="1:34" x14ac:dyDescent="0.2">
      <c r="A226" t="s">
        <v>1687</v>
      </c>
      <c r="B226" t="s">
        <v>2097</v>
      </c>
      <c r="C226" t="s">
        <v>2098</v>
      </c>
      <c r="D226" t="s">
        <v>937</v>
      </c>
      <c r="E226">
        <v>150</v>
      </c>
      <c r="F226">
        <v>1</v>
      </c>
      <c r="G226" s="30">
        <v>1E-4</v>
      </c>
      <c r="H226" s="30">
        <v>0</v>
      </c>
      <c r="I226">
        <v>201</v>
      </c>
      <c r="J226">
        <v>1</v>
      </c>
      <c r="K226" s="30">
        <v>1E-4</v>
      </c>
      <c r="L226" s="30">
        <v>0</v>
      </c>
      <c r="M226" s="30">
        <v>0.2374</v>
      </c>
      <c r="N226" s="30">
        <v>1</v>
      </c>
      <c r="O226">
        <v>6</v>
      </c>
      <c r="P226">
        <v>0</v>
      </c>
      <c r="Q226" s="30">
        <v>0.04</v>
      </c>
      <c r="R226" s="30">
        <v>0</v>
      </c>
      <c r="S226" s="31">
        <v>191.94</v>
      </c>
      <c r="T226" s="31">
        <v>0</v>
      </c>
      <c r="U226">
        <v>6</v>
      </c>
      <c r="V226">
        <v>0</v>
      </c>
      <c r="AA226" t="s">
        <v>937</v>
      </c>
      <c r="AB226">
        <v>6</v>
      </c>
      <c r="AC226" t="s">
        <v>937</v>
      </c>
      <c r="AD226" s="31">
        <v>191.94</v>
      </c>
      <c r="AE226" t="s">
        <v>937</v>
      </c>
      <c r="AF226">
        <v>150</v>
      </c>
      <c r="AG226" t="s">
        <v>937</v>
      </c>
      <c r="AH226" s="30">
        <v>0.2374</v>
      </c>
    </row>
    <row r="227" spans="1:34" x14ac:dyDescent="0.2">
      <c r="A227" t="s">
        <v>1687</v>
      </c>
      <c r="B227" t="s">
        <v>2080</v>
      </c>
      <c r="C227" t="s">
        <v>2081</v>
      </c>
      <c r="D227" t="s">
        <v>940</v>
      </c>
      <c r="E227">
        <v>267</v>
      </c>
      <c r="F227">
        <v>4</v>
      </c>
      <c r="G227" s="30">
        <v>2.0000000000000001E-4</v>
      </c>
      <c r="H227" s="30">
        <v>2.0000000000000001E-4</v>
      </c>
      <c r="I227">
        <v>384</v>
      </c>
      <c r="J227">
        <v>5</v>
      </c>
      <c r="K227" s="30">
        <v>2.0000000000000001E-4</v>
      </c>
      <c r="L227" s="30">
        <v>2.0000000000000001E-4</v>
      </c>
      <c r="M227" s="30">
        <v>0.25409999999999999</v>
      </c>
      <c r="N227" s="30">
        <v>0</v>
      </c>
      <c r="O227">
        <v>14</v>
      </c>
      <c r="P227">
        <v>0</v>
      </c>
      <c r="Q227" s="30">
        <v>5.2400000000000002E-2</v>
      </c>
      <c r="R227" s="30">
        <v>0</v>
      </c>
      <c r="S227" s="31">
        <v>447.86</v>
      </c>
      <c r="T227" s="31">
        <v>0</v>
      </c>
      <c r="U227">
        <v>13</v>
      </c>
      <c r="V227">
        <v>0</v>
      </c>
      <c r="AA227" t="s">
        <v>940</v>
      </c>
      <c r="AB227">
        <v>14</v>
      </c>
      <c r="AC227" t="s">
        <v>940</v>
      </c>
      <c r="AD227" s="31">
        <v>447.86</v>
      </c>
      <c r="AE227" t="s">
        <v>940</v>
      </c>
      <c r="AF227">
        <v>267</v>
      </c>
      <c r="AG227" t="s">
        <v>940</v>
      </c>
      <c r="AH227" s="30">
        <v>0.25409999999999999</v>
      </c>
    </row>
    <row r="228" spans="1:34" x14ac:dyDescent="0.2">
      <c r="A228" t="s">
        <v>1687</v>
      </c>
      <c r="B228" t="s">
        <v>1688</v>
      </c>
      <c r="C228" t="s">
        <v>1689</v>
      </c>
      <c r="D228" t="s">
        <v>942</v>
      </c>
      <c r="E228">
        <v>259</v>
      </c>
      <c r="F228">
        <v>5</v>
      </c>
      <c r="G228" s="30">
        <v>2.0000000000000001E-4</v>
      </c>
      <c r="H228" s="30">
        <v>2.0000000000000001E-4</v>
      </c>
      <c r="I228">
        <v>373</v>
      </c>
      <c r="J228">
        <v>8</v>
      </c>
      <c r="K228" s="30">
        <v>2.0000000000000001E-4</v>
      </c>
      <c r="L228" s="30">
        <v>2.9999999999999997E-4</v>
      </c>
      <c r="M228" s="30">
        <v>0.39029999999999998</v>
      </c>
      <c r="N228" s="30">
        <v>0.25</v>
      </c>
      <c r="O228">
        <v>24</v>
      </c>
      <c r="P228">
        <v>0</v>
      </c>
      <c r="Q228" s="30">
        <v>9.2700000000000005E-2</v>
      </c>
      <c r="R228" s="30">
        <v>0</v>
      </c>
      <c r="S228" s="31">
        <v>767.76</v>
      </c>
      <c r="T228" s="31">
        <v>0</v>
      </c>
      <c r="U228">
        <v>19</v>
      </c>
      <c r="V228">
        <v>0</v>
      </c>
      <c r="AA228" t="s">
        <v>942</v>
      </c>
      <c r="AB228">
        <v>24</v>
      </c>
      <c r="AC228" t="s">
        <v>942</v>
      </c>
      <c r="AD228" s="31">
        <v>767.76</v>
      </c>
      <c r="AE228" t="s">
        <v>942</v>
      </c>
      <c r="AF228">
        <v>259</v>
      </c>
      <c r="AG228" t="s">
        <v>942</v>
      </c>
      <c r="AH228" s="30">
        <v>0.39029999999999998</v>
      </c>
    </row>
    <row r="229" spans="1:34" x14ac:dyDescent="0.2">
      <c r="A229" t="s">
        <v>1999</v>
      </c>
      <c r="B229" t="s">
        <v>1999</v>
      </c>
      <c r="C229" t="s">
        <v>2000</v>
      </c>
      <c r="D229" t="s">
        <v>1705</v>
      </c>
      <c r="E229">
        <v>16</v>
      </c>
      <c r="F229">
        <v>0</v>
      </c>
      <c r="G229" s="30">
        <v>0</v>
      </c>
      <c r="H229" s="30">
        <v>0</v>
      </c>
      <c r="I229">
        <v>18</v>
      </c>
      <c r="J229">
        <v>0</v>
      </c>
      <c r="K229" s="30">
        <v>0</v>
      </c>
      <c r="L229" s="30">
        <v>0</v>
      </c>
      <c r="M229" s="30">
        <v>1</v>
      </c>
      <c r="N229" s="30">
        <v>0</v>
      </c>
      <c r="O229">
        <v>2</v>
      </c>
      <c r="P229">
        <v>0</v>
      </c>
      <c r="Q229" s="30">
        <v>0.125</v>
      </c>
      <c r="R229" s="30">
        <v>0</v>
      </c>
      <c r="S229" s="31">
        <v>64</v>
      </c>
      <c r="T229" s="31">
        <v>0</v>
      </c>
      <c r="U229">
        <v>2</v>
      </c>
      <c r="V229">
        <v>0</v>
      </c>
      <c r="AA229" t="s">
        <v>1705</v>
      </c>
      <c r="AB229">
        <v>2</v>
      </c>
      <c r="AC229" t="s">
        <v>1705</v>
      </c>
      <c r="AD229" s="31">
        <v>64</v>
      </c>
      <c r="AE229" t="s">
        <v>1705</v>
      </c>
      <c r="AF229">
        <v>16</v>
      </c>
      <c r="AG229" t="s">
        <v>1705</v>
      </c>
      <c r="AH229" s="30">
        <v>1</v>
      </c>
    </row>
    <row r="230" spans="1:34" x14ac:dyDescent="0.2">
      <c r="A230" t="s">
        <v>1690</v>
      </c>
      <c r="B230" t="s">
        <v>1891</v>
      </c>
      <c r="C230" t="s">
        <v>1892</v>
      </c>
      <c r="D230" t="s">
        <v>944</v>
      </c>
      <c r="E230">
        <v>115</v>
      </c>
      <c r="F230">
        <v>0</v>
      </c>
      <c r="G230" s="30">
        <v>1E-4</v>
      </c>
      <c r="H230" s="30">
        <v>0</v>
      </c>
      <c r="I230">
        <v>159</v>
      </c>
      <c r="J230">
        <v>0</v>
      </c>
      <c r="K230" s="30">
        <v>1E-4</v>
      </c>
      <c r="L230" s="30">
        <v>0</v>
      </c>
      <c r="M230" s="30">
        <v>0.33560000000000001</v>
      </c>
      <c r="N230" s="30">
        <v>0</v>
      </c>
      <c r="O230">
        <v>6</v>
      </c>
      <c r="P230">
        <v>0</v>
      </c>
      <c r="Q230" s="30">
        <v>5.2200000000000003E-2</v>
      </c>
      <c r="R230" s="30">
        <v>0</v>
      </c>
      <c r="S230" s="31">
        <v>179.94</v>
      </c>
      <c r="T230" s="31">
        <v>0</v>
      </c>
      <c r="U230">
        <v>6</v>
      </c>
      <c r="V230">
        <v>0</v>
      </c>
      <c r="AA230" t="s">
        <v>944</v>
      </c>
      <c r="AB230">
        <v>6</v>
      </c>
      <c r="AC230" t="s">
        <v>944</v>
      </c>
      <c r="AD230" s="31">
        <v>179.94</v>
      </c>
      <c r="AE230" t="s">
        <v>944</v>
      </c>
      <c r="AF230">
        <v>115</v>
      </c>
      <c r="AG230" t="s">
        <v>944</v>
      </c>
      <c r="AH230" s="30">
        <v>0.33560000000000001</v>
      </c>
    </row>
    <row r="231" spans="1:34" x14ac:dyDescent="0.2">
      <c r="A231" t="s">
        <v>1690</v>
      </c>
      <c r="B231" t="s">
        <v>1691</v>
      </c>
      <c r="C231" t="s">
        <v>1692</v>
      </c>
      <c r="D231" t="s">
        <v>947</v>
      </c>
      <c r="E231">
        <v>175</v>
      </c>
      <c r="F231">
        <v>0</v>
      </c>
      <c r="G231" s="30">
        <v>1E-4</v>
      </c>
      <c r="H231" s="30">
        <v>0</v>
      </c>
      <c r="I231">
        <v>285</v>
      </c>
      <c r="J231">
        <v>0</v>
      </c>
      <c r="K231" s="30">
        <v>1E-4</v>
      </c>
      <c r="L231" s="30">
        <v>0</v>
      </c>
      <c r="M231" s="30">
        <v>0.38579999999999998</v>
      </c>
      <c r="N231" s="30">
        <v>0</v>
      </c>
      <c r="O231">
        <v>13</v>
      </c>
      <c r="P231">
        <v>1</v>
      </c>
      <c r="Q231" s="30">
        <v>7.4300000000000005E-2</v>
      </c>
      <c r="R231" s="30">
        <v>0</v>
      </c>
      <c r="S231" s="31">
        <v>389.87</v>
      </c>
      <c r="T231" s="31">
        <v>29.99</v>
      </c>
      <c r="U231">
        <v>10</v>
      </c>
      <c r="V231">
        <v>1</v>
      </c>
      <c r="AA231" t="s">
        <v>947</v>
      </c>
      <c r="AB231">
        <v>13</v>
      </c>
      <c r="AC231" t="s">
        <v>947</v>
      </c>
      <c r="AD231" s="31">
        <v>389.87</v>
      </c>
      <c r="AE231" t="s">
        <v>947</v>
      </c>
      <c r="AF231">
        <v>175</v>
      </c>
      <c r="AG231" t="s">
        <v>947</v>
      </c>
      <c r="AH231" s="30">
        <v>0.38579999999999998</v>
      </c>
    </row>
    <row r="232" spans="1:34" x14ac:dyDescent="0.2">
      <c r="A232" t="s">
        <v>2047</v>
      </c>
      <c r="B232" t="s">
        <v>1189</v>
      </c>
      <c r="C232" t="s">
        <v>1693</v>
      </c>
      <c r="D232" t="s">
        <v>949</v>
      </c>
      <c r="E232">
        <v>73</v>
      </c>
      <c r="F232">
        <v>2</v>
      </c>
      <c r="G232" s="30">
        <v>0</v>
      </c>
      <c r="H232" s="30">
        <v>1E-4</v>
      </c>
      <c r="I232">
        <v>99</v>
      </c>
      <c r="J232">
        <v>2</v>
      </c>
      <c r="K232" s="30">
        <v>0</v>
      </c>
      <c r="L232" s="30">
        <v>1E-4</v>
      </c>
      <c r="M232" s="30">
        <v>0.63039999999999996</v>
      </c>
      <c r="N232" s="30">
        <v>0</v>
      </c>
      <c r="O232">
        <v>9</v>
      </c>
      <c r="P232">
        <v>0</v>
      </c>
      <c r="Q232" s="30">
        <v>0.12330000000000001</v>
      </c>
      <c r="R232" s="30">
        <v>0</v>
      </c>
      <c r="S232" s="31">
        <v>305.91000000000003</v>
      </c>
      <c r="T232" s="31">
        <v>0</v>
      </c>
      <c r="U232">
        <v>8</v>
      </c>
      <c r="V232">
        <v>0</v>
      </c>
      <c r="AA232" t="s">
        <v>949</v>
      </c>
      <c r="AB232">
        <v>9</v>
      </c>
      <c r="AC232" t="s">
        <v>949</v>
      </c>
      <c r="AD232" s="31">
        <v>305.91000000000003</v>
      </c>
      <c r="AE232" t="s">
        <v>949</v>
      </c>
      <c r="AF232">
        <v>73</v>
      </c>
      <c r="AG232" t="s">
        <v>949</v>
      </c>
      <c r="AH232" s="30">
        <v>0.63039999999999996</v>
      </c>
    </row>
    <row r="233" spans="1:34" x14ac:dyDescent="0.2">
      <c r="A233" t="s">
        <v>2047</v>
      </c>
      <c r="B233" t="s">
        <v>1694</v>
      </c>
      <c r="C233" t="s">
        <v>1695</v>
      </c>
      <c r="D233" t="s">
        <v>952</v>
      </c>
      <c r="E233">
        <v>78</v>
      </c>
      <c r="F233">
        <v>1</v>
      </c>
      <c r="G233" s="30">
        <v>0</v>
      </c>
      <c r="H233" s="30">
        <v>0</v>
      </c>
      <c r="I233">
        <v>127</v>
      </c>
      <c r="J233">
        <v>1</v>
      </c>
      <c r="K233" s="30">
        <v>1E-4</v>
      </c>
      <c r="L233" s="30">
        <v>0</v>
      </c>
      <c r="M233" s="30">
        <v>0.17119999999999999</v>
      </c>
      <c r="N233" s="30">
        <v>0</v>
      </c>
      <c r="O233">
        <v>5</v>
      </c>
      <c r="P233">
        <v>0</v>
      </c>
      <c r="Q233" s="30">
        <v>6.4100000000000004E-2</v>
      </c>
      <c r="R233" s="30">
        <v>0</v>
      </c>
      <c r="S233" s="31">
        <v>169.95</v>
      </c>
      <c r="T233" s="31">
        <v>0</v>
      </c>
      <c r="U233">
        <v>5</v>
      </c>
      <c r="V233">
        <v>0</v>
      </c>
      <c r="AA233" t="s">
        <v>952</v>
      </c>
      <c r="AB233">
        <v>5</v>
      </c>
      <c r="AC233" t="s">
        <v>952</v>
      </c>
      <c r="AD233" s="31">
        <v>169.95</v>
      </c>
      <c r="AE233" t="s">
        <v>952</v>
      </c>
      <c r="AF233">
        <v>78</v>
      </c>
      <c r="AG233" t="s">
        <v>952</v>
      </c>
      <c r="AH233" s="30">
        <v>0.17119999999999999</v>
      </c>
    </row>
    <row r="234" spans="1:34" x14ac:dyDescent="0.2">
      <c r="A234" t="s">
        <v>2047</v>
      </c>
      <c r="B234" t="s">
        <v>1696</v>
      </c>
      <c r="C234" t="s">
        <v>1697</v>
      </c>
      <c r="D234" t="s">
        <v>954</v>
      </c>
      <c r="E234">
        <v>75</v>
      </c>
      <c r="F234">
        <v>1</v>
      </c>
      <c r="G234" s="30">
        <v>0</v>
      </c>
      <c r="H234" s="30">
        <v>0</v>
      </c>
      <c r="I234">
        <v>104</v>
      </c>
      <c r="J234">
        <v>1</v>
      </c>
      <c r="K234" s="30">
        <v>0</v>
      </c>
      <c r="L234" s="30">
        <v>0</v>
      </c>
      <c r="M234" s="30">
        <v>0.69389999999999996</v>
      </c>
      <c r="N234" s="30">
        <v>0</v>
      </c>
      <c r="O234">
        <v>5</v>
      </c>
      <c r="P234">
        <v>0</v>
      </c>
      <c r="Q234" s="30">
        <v>6.6699999999999995E-2</v>
      </c>
      <c r="R234" s="30">
        <v>0</v>
      </c>
      <c r="S234" s="31">
        <v>169.95</v>
      </c>
      <c r="T234" s="31">
        <v>0</v>
      </c>
      <c r="U234">
        <v>5</v>
      </c>
      <c r="V234">
        <v>0</v>
      </c>
      <c r="AA234" t="s">
        <v>954</v>
      </c>
      <c r="AB234">
        <v>5</v>
      </c>
      <c r="AC234" t="s">
        <v>954</v>
      </c>
      <c r="AD234" s="31">
        <v>169.95</v>
      </c>
      <c r="AE234" t="s">
        <v>954</v>
      </c>
      <c r="AF234">
        <v>75</v>
      </c>
      <c r="AG234" t="s">
        <v>954</v>
      </c>
      <c r="AH234" s="30">
        <v>0.69389999999999996</v>
      </c>
    </row>
  </sheetData>
  <sortState xmlns:xlrd2="http://schemas.microsoft.com/office/spreadsheetml/2017/richdata2" ref="A2:V291">
    <sortCondition ref="D2:D291"/>
  </sortState>
  <conditionalFormatting sqref="D1:D1048576">
    <cfRule type="duplicateValues" dxfId="8" priority="15"/>
  </conditionalFormatting>
  <conditionalFormatting sqref="AA1:AA1048576">
    <cfRule type="duplicateValues" dxfId="3" priority="4"/>
  </conditionalFormatting>
  <conditionalFormatting sqref="AC1:AC1048576">
    <cfRule type="duplicateValues" dxfId="2" priority="3"/>
  </conditionalFormatting>
  <conditionalFormatting sqref="AE1:AE1048576">
    <cfRule type="duplicateValues" dxfId="1" priority="2"/>
  </conditionalFormatting>
  <conditionalFormatting sqref="AG1:AG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Amazon Weekly Sales Rpt </vt:lpstr>
      <vt:lpstr>Sheet6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McGarry</dc:creator>
  <cp:lastModifiedBy>Kathryn Frank</cp:lastModifiedBy>
  <dcterms:created xsi:type="dcterms:W3CDTF">2024-01-02T16:32:22Z</dcterms:created>
  <dcterms:modified xsi:type="dcterms:W3CDTF">2026-06-01T16:10:02Z</dcterms:modified>
</cp:coreProperties>
</file>